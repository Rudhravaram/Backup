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UAT" sheetId="1" r:id="rId1"/>
    <sheet name="Live" sheetId="3" r:id="rId2"/>
    <sheet name="Sheet4" sheetId="4" r:id="rId3"/>
  </sheets>
  <externalReferences>
    <externalReference r:id="rId4"/>
    <externalReference r:id="rId5"/>
  </externalReferences>
  <definedNames>
    <definedName name="_xlnm._FilterDatabase" localSheetId="1" hidden="1">Live!$A$1:$H$88</definedName>
    <definedName name="_xlnm._FilterDatabase" localSheetId="0" hidden="1">UAT!$A$1:$I$135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8" i="3" l="1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<sst xmlns="http://schemas.openxmlformats.org/spreadsheetml/2006/main" count="422" uniqueCount="269">
  <si>
    <t>BILL_TYPE_ID</t>
  </si>
  <si>
    <t>BILL_TYPE</t>
  </si>
  <si>
    <t>SUB_BILL_TYPE_ID</t>
  </si>
  <si>
    <t>SUB_BILL_TYPE</t>
  </si>
  <si>
    <t>auto BT 01</t>
  </si>
  <si>
    <t>auto SBT 01</t>
  </si>
  <si>
    <t>auto BT 02</t>
  </si>
  <si>
    <t>auto SBT 02</t>
  </si>
  <si>
    <t>auto BT 03</t>
  </si>
  <si>
    <t>auto SBT 03</t>
  </si>
  <si>
    <t>Anesthetist Charges</t>
  </si>
  <si>
    <t>Dental Anesthetist</t>
  </si>
  <si>
    <t>Assistant Surgeon Charges</t>
  </si>
  <si>
    <t>Room Rent charges</t>
  </si>
  <si>
    <t>Sub Bill Room Rent Charges</t>
  </si>
  <si>
    <t>Rampaul</t>
  </si>
  <si>
    <t>Consumable Charges</t>
  </si>
  <si>
    <t>CC1</t>
  </si>
  <si>
    <t>CC2</t>
  </si>
  <si>
    <t>Investigation Charges</t>
  </si>
  <si>
    <t>I1</t>
  </si>
  <si>
    <t>KD Anesthetist Charges</t>
  </si>
  <si>
    <t>KD Dental Anesthetist Charges</t>
  </si>
  <si>
    <t>KD Local Anesthetist Charges</t>
  </si>
  <si>
    <t>KD ROOM RENT</t>
  </si>
  <si>
    <t>Ventilator</t>
  </si>
  <si>
    <t>C-PAP</t>
  </si>
  <si>
    <t>Syringe Pump</t>
  </si>
  <si>
    <t>Infusion Pump</t>
  </si>
  <si>
    <t>Pulse Oxymeter</t>
  </si>
  <si>
    <t>Air Bed</t>
  </si>
  <si>
    <t>Monitoring</t>
  </si>
  <si>
    <t>KD OT Charges</t>
  </si>
  <si>
    <t>C-Arm</t>
  </si>
  <si>
    <t>Laproscope</t>
  </si>
  <si>
    <t>Microscope</t>
  </si>
  <si>
    <t>Ureteroscope</t>
  </si>
  <si>
    <t>Hysteroscope</t>
  </si>
  <si>
    <t>KD Investigation Charges</t>
  </si>
  <si>
    <t>CT scan</t>
  </si>
  <si>
    <t>MRI</t>
  </si>
  <si>
    <t>MammoGraphy</t>
  </si>
  <si>
    <t>2D Echo</t>
  </si>
  <si>
    <t>EEG</t>
  </si>
  <si>
    <t>EMG</t>
  </si>
  <si>
    <t>PFT</t>
  </si>
  <si>
    <t>PI Bill Type</t>
  </si>
  <si>
    <t>PI Sub Bill 001</t>
  </si>
  <si>
    <t>PI Sub Bill 002</t>
  </si>
  <si>
    <t>PI Sub Bill 003</t>
  </si>
  <si>
    <t>TENX 001</t>
  </si>
  <si>
    <t>Sub Bill TENX 001</t>
  </si>
  <si>
    <t>Sub Bill TENX 002</t>
  </si>
  <si>
    <t>Sub Bill TENX 003</t>
  </si>
  <si>
    <t>root tenx 001</t>
  </si>
  <si>
    <t>root ts 001</t>
  </si>
  <si>
    <t>BA BILL 2</t>
  </si>
  <si>
    <t>BA SUB BILL 1</t>
  </si>
  <si>
    <t>BA SUB BILL 2</t>
  </si>
  <si>
    <t>BA BILL 1</t>
  </si>
  <si>
    <t>sai dental 01</t>
  </si>
  <si>
    <t>sai sb root canal 01</t>
  </si>
  <si>
    <t>sai cardiology 01</t>
  </si>
  <si>
    <t>sai sb bypass 01</t>
  </si>
  <si>
    <t>sai health care 01</t>
  </si>
  <si>
    <t>sai sb general 01</t>
  </si>
  <si>
    <t>Final Test</t>
  </si>
  <si>
    <t>Sub Final</t>
  </si>
  <si>
    <t>vinu bill</t>
  </si>
  <si>
    <t>vinu sub bill1</t>
  </si>
  <si>
    <t>vinu sub bill2</t>
  </si>
  <si>
    <t>vinu sub bill3</t>
  </si>
  <si>
    <t>mohan bill type</t>
  </si>
  <si>
    <t>m sub bill type</t>
  </si>
  <si>
    <t>m sub bill type1</t>
  </si>
  <si>
    <t>m sub bill type2</t>
  </si>
  <si>
    <t>mohan bill type1</t>
  </si>
  <si>
    <t>m sub bill type1 22</t>
  </si>
  <si>
    <t>m sub bill type1 44</t>
  </si>
  <si>
    <t>mohan bill type2</t>
  </si>
  <si>
    <t>m sub bill type2 33</t>
  </si>
  <si>
    <t>m sub bill type2 55</t>
  </si>
  <si>
    <t>IL BILL WITH ST</t>
  </si>
  <si>
    <t>ILBILLWST SUB BILL - Extra Charges</t>
  </si>
  <si>
    <t>ILBILLWST SUB BILL - Special Charges</t>
  </si>
  <si>
    <t>GSR</t>
  </si>
  <si>
    <t>GVK</t>
  </si>
  <si>
    <t>lakshmi</t>
  </si>
  <si>
    <t>lakshmi sub bill</t>
  </si>
  <si>
    <t>lakshmi sub bill2</t>
  </si>
  <si>
    <t>Anitha regression</t>
  </si>
  <si>
    <t>Anitha regression sub bill</t>
  </si>
  <si>
    <t>anitha test billl</t>
  </si>
  <si>
    <t>anitha test sub bill</t>
  </si>
  <si>
    <t>IL BILL WITHOUT ST</t>
  </si>
  <si>
    <t>ILBILLWOST SUB BILL - Extra Charges</t>
  </si>
  <si>
    <t>ILGIC</t>
  </si>
  <si>
    <t>ILGIC SUBBILL2</t>
  </si>
  <si>
    <t>ILGIC SUBBILL1</t>
  </si>
  <si>
    <t>ILGIC SUBBILL3</t>
  </si>
  <si>
    <t>ILBILLWOST SUB BILL - Special Charges</t>
  </si>
  <si>
    <t>technical bill</t>
  </si>
  <si>
    <t>subtechnical bill</t>
  </si>
  <si>
    <t>KMT Bill Type 001</t>
  </si>
  <si>
    <t>KMT Sub Bill Type 001-1</t>
  </si>
  <si>
    <t>KMT Sub Bill Type 001-2</t>
  </si>
  <si>
    <t>KMT Bill Type 002</t>
  </si>
  <si>
    <t>KMT Sub Bill Type 002-1</t>
  </si>
  <si>
    <t>KMT Sub Bill Type 002-2</t>
  </si>
  <si>
    <t>KD Bood Invstigation Charges</t>
  </si>
  <si>
    <t>KD Assistant Surgeon Charges</t>
  </si>
  <si>
    <t>KD Lab Assistant Surgeon Charges</t>
  </si>
  <si>
    <t>KD Stitching Assistant Surgeon Charges</t>
  </si>
  <si>
    <t>KD Lab Investigation Charges</t>
  </si>
  <si>
    <t>KD Urine Investigation Charges</t>
  </si>
  <si>
    <t>Neethu</t>
  </si>
  <si>
    <t>Neethu1</t>
  </si>
  <si>
    <t>miscTest1</t>
  </si>
  <si>
    <t>miscsub Test2</t>
  </si>
  <si>
    <t>micsub Test3</t>
  </si>
  <si>
    <t>bill23</t>
  </si>
  <si>
    <t>sub bill24</t>
  </si>
  <si>
    <t>sub bill25</t>
  </si>
  <si>
    <t>MiscSubTest1</t>
  </si>
  <si>
    <t>anitha bill2</t>
  </si>
  <si>
    <t>anitha sub bill2</t>
  </si>
  <si>
    <t>sub bill23</t>
  </si>
  <si>
    <t>Procedure (Other/ Misc. Charges)</t>
  </si>
  <si>
    <t>Surgeon Charges</t>
  </si>
  <si>
    <t>Others</t>
  </si>
  <si>
    <t>No Bills</t>
  </si>
  <si>
    <t>Miscellaneous Charges</t>
  </si>
  <si>
    <t>Dressing Charges</t>
  </si>
  <si>
    <t>Nebulisation Charges</t>
  </si>
  <si>
    <t>Phototherapy</t>
  </si>
  <si>
    <t>Physiotherapy</t>
  </si>
  <si>
    <t>Surgery Charges</t>
  </si>
  <si>
    <t>Procedure/ Surgery/ Operation Charges</t>
  </si>
  <si>
    <t>Delivery charges</t>
  </si>
  <si>
    <t>Operation Theatre/ OT Charges</t>
  </si>
  <si>
    <t>Operation Theatre Charges</t>
  </si>
  <si>
    <t>Package Charges</t>
  </si>
  <si>
    <t>Room Rent/ Room Charges</t>
  </si>
  <si>
    <t>Room Rent</t>
  </si>
  <si>
    <t>Room Nursing Charges</t>
  </si>
  <si>
    <t>Nursing at Home</t>
  </si>
  <si>
    <t>Hospital Nursing Charges</t>
  </si>
  <si>
    <t>Aaya Charges</t>
  </si>
  <si>
    <t>Allied charges</t>
  </si>
  <si>
    <t>Wellness OPD</t>
  </si>
  <si>
    <t>Non-Payables</t>
  </si>
  <si>
    <t>Cost of Implants</t>
  </si>
  <si>
    <t>Cost of Implant</t>
  </si>
  <si>
    <t>Infusion Pump Charges</t>
  </si>
  <si>
    <t>Materials</t>
  </si>
  <si>
    <t>Disposables</t>
  </si>
  <si>
    <t>Intra Ocular Lense (IOL)</t>
  </si>
  <si>
    <t>Stent Charges</t>
  </si>
  <si>
    <t>Discounts if any</t>
  </si>
  <si>
    <t>Equipment charges</t>
  </si>
  <si>
    <t>Hospital Daily Cash</t>
  </si>
  <si>
    <t>Investigation/ Diagnostic Charges (Lesser than 5000)</t>
  </si>
  <si>
    <t>Investigation/ Diagnostic/ Tests Charges</t>
  </si>
  <si>
    <t>Medicines Pharmacy Charges (Lesser than 5000)</t>
  </si>
  <si>
    <t>Medicines Pharmacy Charges (Above 5000)</t>
  </si>
  <si>
    <t>Ambulance Charges</t>
  </si>
  <si>
    <t>Anesthesia Charges</t>
  </si>
  <si>
    <t>Alpha Bed charges</t>
  </si>
  <si>
    <t>Pneumatic/ Air Bed Charges</t>
  </si>
  <si>
    <t>Water Bed</t>
  </si>
  <si>
    <t>Assistant Doctor Charges</t>
  </si>
  <si>
    <t>Assistant Charges</t>
  </si>
  <si>
    <t>Consultation/ Visit Charges</t>
  </si>
  <si>
    <t>Consultation charges</t>
  </si>
  <si>
    <t>DMO/ RMO/ CMO Charges</t>
  </si>
  <si>
    <t>Consumables</t>
  </si>
  <si>
    <t>Oxygen Charges</t>
  </si>
  <si>
    <t>Out of Pre-Post</t>
  </si>
  <si>
    <t>Pre-Post</t>
  </si>
  <si>
    <t>Taxes</t>
  </si>
  <si>
    <t>Bill ID In UAT Bill type ID Sheet ?</t>
  </si>
  <si>
    <t>UAT Bill ID in LIVE?</t>
  </si>
  <si>
    <t>UAT Sub Bill ID in LIVE</t>
  </si>
  <si>
    <t>UAT Bill NAME in LIVE?</t>
  </si>
  <si>
    <t>UAT Sub Bill Name in LIVE</t>
  </si>
  <si>
    <t>PARENT ID</t>
  </si>
  <si>
    <t xml:space="preserve">MAIN BILL TYPE </t>
  </si>
  <si>
    <t xml:space="preserve">SUB BILL TYPE </t>
  </si>
  <si>
    <t xml:space="preserve">SUB BILL TYPE ID </t>
  </si>
  <si>
    <t>Alpha bed</t>
  </si>
  <si>
    <t>Nimbus bed</t>
  </si>
  <si>
    <t>Water bed</t>
  </si>
  <si>
    <t>Air mattress</t>
  </si>
  <si>
    <t>Ambulance charges</t>
  </si>
  <si>
    <t>Anesthetist charges</t>
  </si>
  <si>
    <t>Assistant charges</t>
  </si>
  <si>
    <t>Consultation Visit Charges</t>
  </si>
  <si>
    <t>Doctor Visit Charges</t>
  </si>
  <si>
    <t>DMO RMO CMO Charges</t>
  </si>
  <si>
    <t>OT consumables</t>
  </si>
  <si>
    <t>OT Materials</t>
  </si>
  <si>
    <t>OT Gases</t>
  </si>
  <si>
    <t>OT Drugs</t>
  </si>
  <si>
    <t>Oxygen charges</t>
  </si>
  <si>
    <t>CSSD charges</t>
  </si>
  <si>
    <t>PPE kit charges</t>
  </si>
  <si>
    <t>Cost of Dialyser</t>
  </si>
  <si>
    <t>implants</t>
  </si>
  <si>
    <t>Stents</t>
  </si>
  <si>
    <t>Intra Ocular Lense IOL</t>
  </si>
  <si>
    <t>Mesh</t>
  </si>
  <si>
    <t>Doctor Home Visit</t>
  </si>
  <si>
    <t>Cardiac Monitor</t>
  </si>
  <si>
    <t>Pulse Oximeter</t>
  </si>
  <si>
    <t>Gym or lens or Spa or Food supplement</t>
  </si>
  <si>
    <t>ICU Charges</t>
  </si>
  <si>
    <t>ICU Rent</t>
  </si>
  <si>
    <t>Critical Care Unit/Cardiac ICU/CCU/ICCU</t>
  </si>
  <si>
    <t>Paediatric ICU/NICU</t>
  </si>
  <si>
    <t>Surgical ICU</t>
  </si>
  <si>
    <t>HDU</t>
  </si>
  <si>
    <t>Investigation  Charges</t>
  </si>
  <si>
    <t>Medicines Pharmacy Charges</t>
  </si>
  <si>
    <t>Anesthesia medicines Charges</t>
  </si>
  <si>
    <t>Diet charges</t>
  </si>
  <si>
    <t>Nursing Charges</t>
  </si>
  <si>
    <t>ICU Nursing</t>
  </si>
  <si>
    <t>OPD Consultation</t>
  </si>
  <si>
    <t xml:space="preserve">Labour Room </t>
  </si>
  <si>
    <t>Cathlab</t>
  </si>
  <si>
    <t>Admission</t>
  </si>
  <si>
    <t>Attendant Bed</t>
  </si>
  <si>
    <t>Attendant Pass</t>
  </si>
  <si>
    <t xml:space="preserve">Attendant Diet </t>
  </si>
  <si>
    <t>Documentation</t>
  </si>
  <si>
    <t>Registration</t>
  </si>
  <si>
    <t>Medical records</t>
  </si>
  <si>
    <t>Service Charges</t>
  </si>
  <si>
    <t>TPA Processing</t>
  </si>
  <si>
    <t>Procedure Charges</t>
  </si>
  <si>
    <t>Nebulisation charges</t>
  </si>
  <si>
    <t>Delivery Charges</t>
  </si>
  <si>
    <t>Procedure or Surgery or Operation Charges</t>
  </si>
  <si>
    <t>Room Charges</t>
  </si>
  <si>
    <t>Room Charge</t>
  </si>
  <si>
    <t>Specialized Investigation</t>
  </si>
  <si>
    <t>CT Plain/CT Brain/CT chest</t>
  </si>
  <si>
    <t>MRI Plain/MRI Brain</t>
  </si>
  <si>
    <t>PET Scan whole body</t>
  </si>
  <si>
    <t>GST</t>
  </si>
  <si>
    <t>Super Specialist Visit</t>
  </si>
  <si>
    <t>Intenseivist Charges</t>
  </si>
  <si>
    <t>Miscellaneous</t>
  </si>
  <si>
    <t>Interaction pending1</t>
  </si>
  <si>
    <t>Interaction pending2</t>
  </si>
  <si>
    <t>Interaction pending3</t>
  </si>
  <si>
    <t>Interaction pending4</t>
  </si>
  <si>
    <t>Bill ID in UAT ?</t>
  </si>
  <si>
    <t>Bill Name in UAT ?</t>
  </si>
  <si>
    <t>Sub Bill ID in UAT ?</t>
  </si>
  <si>
    <t>Sub Bill Name in UAT ?</t>
  </si>
  <si>
    <t>Sub Bill Type</t>
  </si>
  <si>
    <t>Main Bill Type</t>
  </si>
  <si>
    <t xml:space="preserve">Condition </t>
  </si>
  <si>
    <t>Create New in UAT (Count)</t>
  </si>
  <si>
    <t>Name and ID both should match with LIVE</t>
  </si>
  <si>
    <t>Options</t>
  </si>
  <si>
    <t>1 (Prefered)</t>
  </si>
  <si>
    <t>ID matching with LIVE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</si>
</sst>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6944/AppData/Local/Microsoft/Windows/INetCache/Content.Outlook/MPM9YFQB/UAT_BILL_TYPE%20MASTER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Proposed%20Bill%20and%20Sub%20bill%20types%20AL%20and%20CL%20-%20for%20i3%20(0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ID</v>
          </cell>
        </row>
        <row r="2">
          <cell r="A2">
            <v>500516</v>
          </cell>
        </row>
        <row r="3">
          <cell r="A3">
            <v>500528</v>
          </cell>
        </row>
        <row r="4">
          <cell r="A4">
            <v>500530</v>
          </cell>
        </row>
        <row r="5">
          <cell r="A5">
            <v>500531</v>
          </cell>
        </row>
        <row r="6">
          <cell r="A6">
            <v>500532</v>
          </cell>
        </row>
        <row r="7">
          <cell r="A7">
            <v>500533</v>
          </cell>
        </row>
        <row r="8">
          <cell r="A8">
            <v>500534</v>
          </cell>
        </row>
        <row r="9">
          <cell r="A9">
            <v>500535</v>
          </cell>
        </row>
        <row r="10">
          <cell r="A10">
            <v>500536</v>
          </cell>
        </row>
        <row r="11">
          <cell r="A11">
            <v>500537</v>
          </cell>
        </row>
        <row r="12">
          <cell r="A12">
            <v>500538</v>
          </cell>
        </row>
        <row r="13">
          <cell r="A13">
            <v>500539</v>
          </cell>
        </row>
        <row r="14">
          <cell r="A14">
            <v>500540</v>
          </cell>
        </row>
        <row r="15">
          <cell r="A15">
            <v>500642</v>
          </cell>
        </row>
        <row r="16">
          <cell r="A16">
            <v>701982</v>
          </cell>
        </row>
        <row r="17">
          <cell r="A17">
            <v>702013</v>
          </cell>
        </row>
        <row r="18">
          <cell r="A18">
            <v>702014</v>
          </cell>
        </row>
        <row r="19">
          <cell r="A19">
            <v>702022</v>
          </cell>
        </row>
        <row r="20">
          <cell r="A20">
            <v>702125</v>
          </cell>
        </row>
        <row r="21">
          <cell r="A21">
            <v>702128</v>
          </cell>
        </row>
        <row r="22">
          <cell r="A22">
            <v>702153</v>
          </cell>
        </row>
        <row r="23">
          <cell r="A23">
            <v>702158</v>
          </cell>
        </row>
        <row r="24">
          <cell r="A24">
            <v>702169</v>
          </cell>
        </row>
        <row r="25">
          <cell r="A25">
            <v>702170</v>
          </cell>
        </row>
        <row r="26">
          <cell r="A26">
            <v>702171</v>
          </cell>
        </row>
        <row r="27">
          <cell r="A27">
            <v>702177</v>
          </cell>
        </row>
        <row r="28">
          <cell r="A28">
            <v>702180</v>
          </cell>
        </row>
        <row r="29">
          <cell r="A29">
            <v>702208</v>
          </cell>
        </row>
        <row r="30">
          <cell r="A30">
            <v>702209</v>
          </cell>
        </row>
        <row r="31">
          <cell r="A31">
            <v>702218</v>
          </cell>
        </row>
        <row r="32">
          <cell r="A32">
            <v>702230</v>
          </cell>
        </row>
        <row r="33">
          <cell r="A33">
            <v>1000023</v>
          </cell>
        </row>
        <row r="34">
          <cell r="A34">
            <v>1000104</v>
          </cell>
        </row>
        <row r="35">
          <cell r="A35">
            <v>1000134</v>
          </cell>
        </row>
        <row r="36">
          <cell r="A36">
            <v>1000298</v>
          </cell>
        </row>
        <row r="37">
          <cell r="A37">
            <v>1000336</v>
          </cell>
        </row>
        <row r="38">
          <cell r="A38">
            <v>1000337</v>
          </cell>
        </row>
        <row r="39">
          <cell r="A39">
            <v>1000339</v>
          </cell>
        </row>
        <row r="40">
          <cell r="A40">
            <v>1000347</v>
          </cell>
        </row>
        <row r="41">
          <cell r="A41">
            <v>1000386</v>
          </cell>
        </row>
        <row r="42">
          <cell r="A42">
            <v>1000650</v>
          </cell>
        </row>
        <row r="43">
          <cell r="A43">
            <v>1003084</v>
          </cell>
        </row>
        <row r="44">
          <cell r="A44">
            <v>1003085</v>
          </cell>
        </row>
        <row r="45">
          <cell r="A45">
            <v>1003086</v>
          </cell>
        </row>
        <row r="46">
          <cell r="A46">
            <v>1003087</v>
          </cell>
        </row>
        <row r="47">
          <cell r="A47">
            <v>1003088</v>
          </cell>
        </row>
        <row r="48">
          <cell r="A48">
            <v>1003098</v>
          </cell>
        </row>
        <row r="49">
          <cell r="A49">
            <v>1003285</v>
          </cell>
        </row>
        <row r="50">
          <cell r="A50">
            <v>1003287</v>
          </cell>
        </row>
        <row r="51">
          <cell r="A51">
            <v>1003291</v>
          </cell>
        </row>
        <row r="52">
          <cell r="A52">
            <v>1003292</v>
          </cell>
        </row>
        <row r="53">
          <cell r="A53">
            <v>1003293</v>
          </cell>
        </row>
        <row r="54">
          <cell r="A54">
            <v>1003294</v>
          </cell>
        </row>
        <row r="55">
          <cell r="A55">
            <v>1003295</v>
          </cell>
        </row>
        <row r="56">
          <cell r="A56">
            <v>1003296</v>
          </cell>
        </row>
        <row r="57">
          <cell r="A57">
            <v>1003297</v>
          </cell>
        </row>
        <row r="58">
          <cell r="A58">
            <v>1003298</v>
          </cell>
        </row>
        <row r="59">
          <cell r="A59">
            <v>1003299</v>
          </cell>
        </row>
        <row r="60">
          <cell r="A60">
            <v>1003300</v>
          </cell>
        </row>
        <row r="61">
          <cell r="A61">
            <v>1003301</v>
          </cell>
        </row>
        <row r="62">
          <cell r="A62">
            <v>1003302</v>
          </cell>
        </row>
        <row r="63">
          <cell r="A63">
            <v>1003303</v>
          </cell>
        </row>
        <row r="64">
          <cell r="A64">
            <v>1003304</v>
          </cell>
        </row>
        <row r="65">
          <cell r="A65">
            <v>1003305</v>
          </cell>
        </row>
        <row r="66">
          <cell r="A66">
            <v>1003306</v>
          </cell>
        </row>
        <row r="67">
          <cell r="A67">
            <v>1003307</v>
          </cell>
        </row>
        <row r="68">
          <cell r="A68">
            <v>1003308</v>
          </cell>
        </row>
        <row r="69">
          <cell r="A69">
            <v>1003309</v>
          </cell>
        </row>
        <row r="70">
          <cell r="A70">
            <v>1003379</v>
          </cell>
        </row>
        <row r="71">
          <cell r="A71">
            <v>1003380</v>
          </cell>
        </row>
        <row r="72">
          <cell r="A72">
            <v>1003385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</sheetNames>
    <sheetDataSet>
      <sheetData sheetId="0">
        <row r="1">
          <cell r="A1" t="str">
            <v>PARENT ID</v>
          </cell>
          <cell r="B1" t="str">
            <v xml:space="preserve">MAIN BILL TYPE </v>
          </cell>
          <cell r="D1" t="str">
            <v xml:space="preserve">SUB BILL TYPE ID </v>
          </cell>
        </row>
        <row r="2">
          <cell r="A2">
            <v>1011057</v>
          </cell>
          <cell r="B2" t="str">
            <v>Alpha Bed charges</v>
          </cell>
          <cell r="D2">
            <v>1000751</v>
          </cell>
        </row>
        <row r="3">
          <cell r="D3">
            <v>1014398</v>
          </cell>
        </row>
        <row r="4">
          <cell r="D4">
            <v>1011072</v>
          </cell>
        </row>
        <row r="5">
          <cell r="D5">
            <v>1014374</v>
          </cell>
        </row>
        <row r="6">
          <cell r="A6">
            <v>1011054</v>
          </cell>
          <cell r="B6" t="str">
            <v>Ambulance Charges</v>
          </cell>
          <cell r="D6">
            <v>1011068</v>
          </cell>
        </row>
        <row r="7">
          <cell r="A7">
            <v>500528</v>
          </cell>
          <cell r="B7" t="str">
            <v>Anesthetist Charges</v>
          </cell>
          <cell r="D7">
            <v>706035</v>
          </cell>
        </row>
        <row r="8">
          <cell r="A8">
            <v>1011056</v>
          </cell>
          <cell r="B8" t="str">
            <v>Anesthesia Charges</v>
          </cell>
          <cell r="D8">
            <v>1011684</v>
          </cell>
        </row>
        <row r="9">
          <cell r="A9">
            <v>705926</v>
          </cell>
          <cell r="B9" t="str">
            <v>Assistant Charges</v>
          </cell>
          <cell r="D9">
            <v>1011676</v>
          </cell>
        </row>
        <row r="10">
          <cell r="A10">
            <v>1011058</v>
          </cell>
          <cell r="B10" t="str">
            <v>Assistant Doctor Charges</v>
          </cell>
          <cell r="D10">
            <v>1014375</v>
          </cell>
        </row>
        <row r="11">
          <cell r="A11">
            <v>500531</v>
          </cell>
          <cell r="B11" t="str">
            <v>Assistant Surgeon Charges</v>
          </cell>
          <cell r="D11">
            <v>706037</v>
          </cell>
        </row>
        <row r="12">
          <cell r="A12">
            <v>500529</v>
          </cell>
          <cell r="B12" t="str">
            <v>Consultation Visit Charges</v>
          </cell>
          <cell r="D12">
            <v>1011073</v>
          </cell>
        </row>
        <row r="13">
          <cell r="D13">
            <v>706043</v>
          </cell>
        </row>
        <row r="14">
          <cell r="D14">
            <v>1011074</v>
          </cell>
        </row>
        <row r="15">
          <cell r="A15">
            <v>500534</v>
          </cell>
          <cell r="B15" t="str">
            <v>Consumable Charges</v>
          </cell>
          <cell r="D15">
            <v>1000775</v>
          </cell>
        </row>
        <row r="16">
          <cell r="D16">
            <v>1011077</v>
          </cell>
        </row>
        <row r="17">
          <cell r="D17">
            <v>1011076</v>
          </cell>
        </row>
        <row r="18">
          <cell r="D18">
            <v>1000770</v>
          </cell>
        </row>
        <row r="19">
          <cell r="D19">
            <v>1014363</v>
          </cell>
        </row>
        <row r="20">
          <cell r="D20">
            <v>1000772</v>
          </cell>
        </row>
        <row r="21">
          <cell r="D21">
            <v>1000769</v>
          </cell>
        </row>
        <row r="22">
          <cell r="D22">
            <v>1011075</v>
          </cell>
        </row>
        <row r="23">
          <cell r="D23">
            <v>1014376</v>
          </cell>
        </row>
        <row r="24">
          <cell r="D24">
            <v>1014377</v>
          </cell>
        </row>
        <row r="25">
          <cell r="D25">
            <v>1014378</v>
          </cell>
        </row>
        <row r="26">
          <cell r="A26">
            <v>1011059</v>
          </cell>
          <cell r="B26" t="str">
            <v>Cost of Implant</v>
          </cell>
          <cell r="D26">
            <v>1000778</v>
          </cell>
        </row>
        <row r="27">
          <cell r="D27">
            <v>1000779</v>
          </cell>
        </row>
        <row r="28">
          <cell r="D28">
            <v>1011079</v>
          </cell>
        </row>
        <row r="29">
          <cell r="D29">
            <v>1014379</v>
          </cell>
        </row>
        <row r="30">
          <cell r="A30">
            <v>1000678</v>
          </cell>
          <cell r="B30" t="str">
            <v>Doctor Home Visit</v>
          </cell>
          <cell r="D30">
            <v>1014380</v>
          </cell>
        </row>
        <row r="31">
          <cell r="A31">
            <v>705929</v>
          </cell>
          <cell r="B31" t="str">
            <v>Equipment charges</v>
          </cell>
          <cell r="D31">
            <v>706044</v>
          </cell>
        </row>
        <row r="32">
          <cell r="D32">
            <v>1014360</v>
          </cell>
        </row>
        <row r="33">
          <cell r="D33">
            <v>1000762</v>
          </cell>
        </row>
        <row r="34">
          <cell r="D34">
            <v>1000752</v>
          </cell>
        </row>
        <row r="35">
          <cell r="D35">
            <v>1000768</v>
          </cell>
        </row>
        <row r="36">
          <cell r="D36">
            <v>1000760</v>
          </cell>
        </row>
        <row r="37">
          <cell r="A37">
            <v>1000861</v>
          </cell>
          <cell r="B37" t="str">
            <v>Gym or lens or Spa or Food supplement</v>
          </cell>
          <cell r="D37">
            <v>1014381</v>
          </cell>
        </row>
        <row r="38">
          <cell r="A38">
            <v>705568</v>
          </cell>
          <cell r="B38" t="str">
            <v>Hospital Daily Cash</v>
          </cell>
          <cell r="D38">
            <v>706045</v>
          </cell>
        </row>
        <row r="39">
          <cell r="A39">
            <v>1000740</v>
          </cell>
          <cell r="B39" t="str">
            <v>ICU Charges</v>
          </cell>
          <cell r="D39">
            <v>1011046</v>
          </cell>
        </row>
        <row r="40">
          <cell r="D40">
            <v>1014382</v>
          </cell>
        </row>
        <row r="41">
          <cell r="D41">
            <v>1014383</v>
          </cell>
        </row>
        <row r="42">
          <cell r="D42">
            <v>1014384</v>
          </cell>
        </row>
        <row r="43">
          <cell r="D43">
            <v>1014385</v>
          </cell>
        </row>
        <row r="44">
          <cell r="A44">
            <v>500535</v>
          </cell>
          <cell r="B44" t="str">
            <v>Investigation Charges</v>
          </cell>
          <cell r="D44">
            <v>1014386</v>
          </cell>
        </row>
        <row r="45">
          <cell r="A45">
            <v>500533</v>
          </cell>
          <cell r="B45" t="str">
            <v>Medicines Pharmacy Charges</v>
          </cell>
          <cell r="D45">
            <v>706048</v>
          </cell>
        </row>
        <row r="46">
          <cell r="D46">
            <v>706034</v>
          </cell>
        </row>
        <row r="47">
          <cell r="A47">
            <v>1000744</v>
          </cell>
          <cell r="B47" t="str">
            <v>Miscellaneous Charges</v>
          </cell>
          <cell r="D47">
            <v>1011084</v>
          </cell>
        </row>
        <row r="48">
          <cell r="D48">
            <v>1014387</v>
          </cell>
        </row>
        <row r="49">
          <cell r="A49">
            <v>500532</v>
          </cell>
          <cell r="B49" t="str">
            <v>Nursing Charges</v>
          </cell>
          <cell r="D49">
            <v>1014403</v>
          </cell>
        </row>
        <row r="50">
          <cell r="A50">
            <v>1000677</v>
          </cell>
          <cell r="B50" t="str">
            <v>OPD Consultation</v>
          </cell>
          <cell r="D50">
            <v>1014388</v>
          </cell>
        </row>
        <row r="51">
          <cell r="A51">
            <v>500539</v>
          </cell>
          <cell r="B51" t="str">
            <v>Operation Theatre Charges</v>
          </cell>
          <cell r="D51">
            <v>1011541</v>
          </cell>
        </row>
        <row r="52">
          <cell r="D52">
            <v>1000766</v>
          </cell>
        </row>
        <row r="53">
          <cell r="D53">
            <v>1014389</v>
          </cell>
        </row>
        <row r="54">
          <cell r="A54">
            <v>500540</v>
          </cell>
          <cell r="B54" t="str">
            <v>Others</v>
          </cell>
          <cell r="D54">
            <v>706052</v>
          </cell>
        </row>
        <row r="55">
          <cell r="D55">
            <v>1011675</v>
          </cell>
        </row>
        <row r="56">
          <cell r="D56">
            <v>1000787</v>
          </cell>
        </row>
        <row r="57">
          <cell r="D57">
            <v>1000791</v>
          </cell>
        </row>
        <row r="58">
          <cell r="D58">
            <v>1000790</v>
          </cell>
        </row>
        <row r="59">
          <cell r="D59">
            <v>1014390</v>
          </cell>
        </row>
        <row r="60">
          <cell r="D60">
            <v>1000792</v>
          </cell>
        </row>
        <row r="61">
          <cell r="D61">
            <v>1000788</v>
          </cell>
        </row>
        <row r="62">
          <cell r="D62">
            <v>1014391</v>
          </cell>
        </row>
        <row r="63">
          <cell r="D63">
            <v>1014392</v>
          </cell>
        </row>
        <row r="64">
          <cell r="D64">
            <v>1014393</v>
          </cell>
        </row>
        <row r="65">
          <cell r="A65">
            <v>1014351</v>
          </cell>
          <cell r="B65" t="str">
            <v>Out of Pre-Post</v>
          </cell>
          <cell r="D65">
            <v>1014353</v>
          </cell>
        </row>
        <row r="66">
          <cell r="A66">
            <v>1000745</v>
          </cell>
          <cell r="B66" t="str">
            <v>Package Charges</v>
          </cell>
          <cell r="D66">
            <v>1011542</v>
          </cell>
        </row>
        <row r="67">
          <cell r="A67">
            <v>1014350</v>
          </cell>
          <cell r="B67" t="str">
            <v>Pre-Post</v>
          </cell>
          <cell r="D67">
            <v>1014352</v>
          </cell>
        </row>
        <row r="68">
          <cell r="A68">
            <v>500642</v>
          </cell>
          <cell r="B68" t="str">
            <v>Procedure Charges</v>
          </cell>
          <cell r="D68">
            <v>1011547</v>
          </cell>
        </row>
        <row r="69">
          <cell r="D69">
            <v>1011086</v>
          </cell>
        </row>
        <row r="70">
          <cell r="D70">
            <v>1011087</v>
          </cell>
        </row>
        <row r="71">
          <cell r="D71">
            <v>706059</v>
          </cell>
        </row>
        <row r="72">
          <cell r="D72">
            <v>706041</v>
          </cell>
        </row>
        <row r="73">
          <cell r="D73">
            <v>1011539</v>
          </cell>
        </row>
        <row r="74">
          <cell r="A74">
            <v>1000739</v>
          </cell>
          <cell r="B74" t="str">
            <v>Room Charges</v>
          </cell>
          <cell r="D74">
            <v>1000746</v>
          </cell>
        </row>
        <row r="75">
          <cell r="A75">
            <v>1011066</v>
          </cell>
          <cell r="B75" t="str">
            <v>Room Nursing Charges</v>
          </cell>
          <cell r="D75">
            <v>1011545</v>
          </cell>
        </row>
        <row r="76">
          <cell r="D76">
            <v>1011544</v>
          </cell>
        </row>
        <row r="77">
          <cell r="A77">
            <v>701971</v>
          </cell>
          <cell r="B77" t="str">
            <v>Specialized Investigation</v>
          </cell>
          <cell r="D77">
            <v>1014394</v>
          </cell>
        </row>
        <row r="78">
          <cell r="D78">
            <v>1014395</v>
          </cell>
        </row>
        <row r="79">
          <cell r="D79">
            <v>1014396</v>
          </cell>
        </row>
        <row r="80">
          <cell r="A80">
            <v>500530</v>
          </cell>
          <cell r="B80" t="str">
            <v>Surgeon Charges</v>
          </cell>
          <cell r="D80">
            <v>1011088</v>
          </cell>
        </row>
        <row r="81">
          <cell r="A81">
            <v>500537</v>
          </cell>
          <cell r="B81" t="str">
            <v>Taxes</v>
          </cell>
          <cell r="D81">
            <v>1000794</v>
          </cell>
        </row>
        <row r="82">
          <cell r="A82">
            <v>1008847</v>
          </cell>
          <cell r="B82" t="str">
            <v>Wellness OPD</v>
          </cell>
          <cell r="D82">
            <v>1011549</v>
          </cell>
        </row>
        <row r="83">
          <cell r="A83">
            <v>1006255</v>
          </cell>
          <cell r="B83" t="str">
            <v>GST</v>
          </cell>
          <cell r="D83">
            <v>1014397</v>
          </cell>
        </row>
        <row r="84">
          <cell r="A84">
            <v>500538</v>
          </cell>
          <cell r="B84" t="str">
            <v>Discounts if any</v>
          </cell>
          <cell r="D84">
            <v>706042</v>
          </cell>
        </row>
        <row r="85">
          <cell r="A85">
            <v>1014399</v>
          </cell>
          <cell r="B85" t="str">
            <v>Super Specialist Visit</v>
          </cell>
          <cell r="D85">
            <v>1014404</v>
          </cell>
        </row>
        <row r="86">
          <cell r="A86">
            <v>1014400</v>
          </cell>
          <cell r="B86" t="str">
            <v>Intenseivist Charges</v>
          </cell>
          <cell r="D86">
            <v>1014405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B14" sqref="B14"/>
    </sheetView>
  </sheetViews>
  <sheetFormatPr defaultRowHeight="15" x14ac:dyDescent="0.25"/>
  <cols>
    <col min="1" max="1" width="12.42578125" style="4" bestFit="1" customWidth="1"/>
    <col min="2" max="2" width="48" bestFit="1" customWidth="1"/>
    <col min="3" max="3" width="17" style="4" bestFit="1" customWidth="1"/>
    <col min="4" max="4" width="44" bestFit="1" customWidth="1"/>
    <col min="5" max="5" width="15.7109375" bestFit="1" customWidth="1"/>
    <col min="6" max="6" width="17.85546875" style="5" bestFit="1" customWidth="1"/>
    <col min="8" max="8" width="20.5703125" bestFit="1" customWidth="1"/>
    <col min="9" max="9" width="2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180</v>
      </c>
      <c r="F1" s="6" t="s">
        <v>181</v>
      </c>
      <c r="G1" s="6" t="s">
        <v>183</v>
      </c>
      <c r="H1" s="6" t="s">
        <v>182</v>
      </c>
      <c r="I1" s="6" t="s">
        <v>184</v>
      </c>
    </row>
    <row r="2" spans="1:9" x14ac:dyDescent="0.25">
      <c r="A2" s="3">
        <v>1000028</v>
      </c>
      <c r="B2" s="2" t="s">
        <v>4</v>
      </c>
      <c r="C2" s="3">
        <v>1000031</v>
      </c>
      <c r="D2" s="2" t="s">
        <v>5</v>
      </c>
      <c r="E2" t="e">
        <f>VLOOKUP(A:A,[1]Sheet1!$A:$A,1,0)</f>
        <v>#N/A</v>
      </c>
      <c r="F2" s="5" t="e">
        <f>VLOOKUP(A:A,'[2]Final sheet'!$A$1:$A$65536,1,0)</f>
        <v>#N/A</v>
      </c>
      <c r="G2" t="e">
        <f>VLOOKUP(B:B,'[2]Final sheet'!$B$1:$B$65536,1,0)</f>
        <v>#N/A</v>
      </c>
      <c r="H2" t="e">
        <f>VLOOKUP(C:C,'[2]Final sheet'!$D$1:$D$65536,1,0)</f>
        <v>#N/A</v>
      </c>
      <c r="I2" t="e">
        <f>VLOOKUP(D:D,'[2]Final sheet'!$D$1:$D$65536,1,0)</f>
        <v>#N/A</v>
      </c>
    </row>
    <row r="3" spans="1:9" x14ac:dyDescent="0.25">
      <c r="A3" s="3">
        <v>1000029</v>
      </c>
      <c r="B3" s="2" t="s">
        <v>6</v>
      </c>
      <c r="C3" s="3">
        <v>1000032</v>
      </c>
      <c r="D3" s="2" t="s">
        <v>7</v>
      </c>
      <c r="E3" t="e">
        <f>VLOOKUP(A:A,[1]Sheet1!$A:$A,1,0)</f>
        <v>#N/A</v>
      </c>
      <c r="F3" s="5" t="e">
        <f>VLOOKUP(A:A,'[2]Final sheet'!$A$1:$A$65536,1,0)</f>
        <v>#N/A</v>
      </c>
      <c r="G3" t="e">
        <f>VLOOKUP(B:B,'[2]Final sheet'!$B$1:$B$65536,1,0)</f>
        <v>#N/A</v>
      </c>
      <c r="H3" t="e">
        <f>VLOOKUP(C:C,'[2]Final sheet'!$D$1:$D$65536,1,0)</f>
        <v>#N/A</v>
      </c>
      <c r="I3" t="e">
        <f>VLOOKUP(D:D,'[2]Final sheet'!$D$1:$D$65536,1,0)</f>
        <v>#N/A</v>
      </c>
    </row>
    <row r="4" spans="1:9" x14ac:dyDescent="0.25">
      <c r="A4" s="3">
        <v>1000030</v>
      </c>
      <c r="B4" s="2" t="s">
        <v>8</v>
      </c>
      <c r="C4" s="3">
        <v>1000033</v>
      </c>
      <c r="D4" s="2" t="s">
        <v>9</v>
      </c>
      <c r="E4" t="e">
        <f>VLOOKUP(A:A,[1]Sheet1!$A:$A,1,0)</f>
        <v>#N/A</v>
      </c>
      <c r="F4" s="5" t="e">
        <f>VLOOKUP(A:A,'[2]Final sheet'!$A$1:$A$65536,1,0)</f>
        <v>#N/A</v>
      </c>
      <c r="G4" t="e">
        <f>VLOOKUP(B:B,'[2]Final sheet'!$B$1:$B$65536,1,0)</f>
        <v>#N/A</v>
      </c>
      <c r="H4" t="e">
        <f>VLOOKUP(C:C,'[2]Final sheet'!$D$1:$D$65536,1,0)</f>
        <v>#N/A</v>
      </c>
      <c r="I4" t="e">
        <f>VLOOKUP(D:D,'[2]Final sheet'!$D$1:$D$65536,1,0)</f>
        <v>#N/A</v>
      </c>
    </row>
    <row r="5" spans="1:9" x14ac:dyDescent="0.25">
      <c r="A5" s="3">
        <v>500528</v>
      </c>
      <c r="B5" s="2" t="s">
        <v>10</v>
      </c>
      <c r="C5" s="3">
        <v>702121</v>
      </c>
      <c r="D5" s="2" t="s">
        <v>11</v>
      </c>
      <c r="E5">
        <f>VLOOKUP(A:A,[1]Sheet1!$A:$A,1,0)</f>
        <v>500528</v>
      </c>
      <c r="F5" s="5">
        <f>VLOOKUP(A:A,'[2]Final sheet'!$A$1:$A$65536,1,0)</f>
        <v>500528</v>
      </c>
      <c r="G5" t="str">
        <f>VLOOKUP(B:B,'[2]Final sheet'!$B$1:$B$65536,1,0)</f>
        <v>Anesthetist Charges</v>
      </c>
      <c r="H5" t="e">
        <f>VLOOKUP(C:C,'[2]Final sheet'!$D$1:$D$65536,1,0)</f>
        <v>#N/A</v>
      </c>
      <c r="I5" t="e">
        <f>VLOOKUP(D:D,'[2]Final sheet'!$D$1:$D$65536,1,0)</f>
        <v>#N/A</v>
      </c>
    </row>
    <row r="6" spans="1:9" x14ac:dyDescent="0.25">
      <c r="A6" s="3">
        <v>500531</v>
      </c>
      <c r="B6" s="2" t="s">
        <v>12</v>
      </c>
      <c r="C6" s="3">
        <v>702088</v>
      </c>
      <c r="D6" s="2" t="s">
        <v>13</v>
      </c>
      <c r="E6">
        <f>VLOOKUP(A:A,[1]Sheet1!$A:$A,1,0)</f>
        <v>500531</v>
      </c>
      <c r="F6" s="5">
        <f>VLOOKUP(A:A,'[2]Final sheet'!$A$1:$A$65536,1,0)</f>
        <v>500531</v>
      </c>
      <c r="G6" t="str">
        <f>VLOOKUP(B:B,'[2]Final sheet'!$B$1:$B$65536,1,0)</f>
        <v>Assistant Surgeon Charges</v>
      </c>
      <c r="H6" t="e">
        <f>VLOOKUP(C:C,'[2]Final sheet'!$D$1:$D$65536,1,0)</f>
        <v>#N/A</v>
      </c>
      <c r="I6" t="e">
        <f>VLOOKUP(D:D,'[2]Final sheet'!$D$1:$D$65536,1,0)</f>
        <v>#N/A</v>
      </c>
    </row>
    <row r="7" spans="1:9" x14ac:dyDescent="0.25">
      <c r="A7" s="3">
        <v>500531</v>
      </c>
      <c r="B7" s="2" t="s">
        <v>12</v>
      </c>
      <c r="C7" s="3">
        <v>702090</v>
      </c>
      <c r="D7" s="2" t="s">
        <v>14</v>
      </c>
      <c r="E7">
        <f>VLOOKUP(A:A,[1]Sheet1!$A:$A,1,0)</f>
        <v>500531</v>
      </c>
      <c r="F7" s="5">
        <f>VLOOKUP(A:A,'[2]Final sheet'!$A$1:$A$65536,1,0)</f>
        <v>500531</v>
      </c>
      <c r="G7" t="str">
        <f>VLOOKUP(B:B,'[2]Final sheet'!$B$1:$B$65536,1,0)</f>
        <v>Assistant Surgeon Charges</v>
      </c>
      <c r="H7" t="e">
        <f>VLOOKUP(C:C,'[2]Final sheet'!$D$1:$D$65536,1,0)</f>
        <v>#N/A</v>
      </c>
      <c r="I7" t="e">
        <f>VLOOKUP(D:D,'[2]Final sheet'!$D$1:$D$65536,1,0)</f>
        <v>#N/A</v>
      </c>
    </row>
    <row r="8" spans="1:9" x14ac:dyDescent="0.25">
      <c r="A8" s="3">
        <v>500528</v>
      </c>
      <c r="B8" s="2" t="s">
        <v>10</v>
      </c>
      <c r="C8" s="3">
        <v>702034</v>
      </c>
      <c r="D8" s="2" t="s">
        <v>15</v>
      </c>
      <c r="E8">
        <f>VLOOKUP(A:A,[1]Sheet1!$A:$A,1,0)</f>
        <v>500528</v>
      </c>
      <c r="F8" s="5">
        <f>VLOOKUP(A:A,'[2]Final sheet'!$A$1:$A$65536,1,0)</f>
        <v>500528</v>
      </c>
      <c r="G8" t="str">
        <f>VLOOKUP(B:B,'[2]Final sheet'!$B$1:$B$65536,1,0)</f>
        <v>Anesthetist Charges</v>
      </c>
      <c r="H8" t="e">
        <f>VLOOKUP(C:C,'[2]Final sheet'!$D$1:$D$65536,1,0)</f>
        <v>#N/A</v>
      </c>
      <c r="I8" t="e">
        <f>VLOOKUP(D:D,'[2]Final sheet'!$D$1:$D$65536,1,0)</f>
        <v>#N/A</v>
      </c>
    </row>
    <row r="9" spans="1:9" x14ac:dyDescent="0.25">
      <c r="A9" s="3">
        <v>500534</v>
      </c>
      <c r="B9" s="2" t="s">
        <v>16</v>
      </c>
      <c r="C9" s="3">
        <v>702035</v>
      </c>
      <c r="D9" s="2" t="s">
        <v>17</v>
      </c>
      <c r="E9">
        <f>VLOOKUP(A:A,[1]Sheet1!$A:$A,1,0)</f>
        <v>500534</v>
      </c>
      <c r="F9" s="5">
        <f>VLOOKUP(A:A,'[2]Final sheet'!$A$1:$A$65536,1,0)</f>
        <v>500534</v>
      </c>
      <c r="G9" t="str">
        <f>VLOOKUP(B:B,'[2]Final sheet'!$B$1:$B$65536,1,0)</f>
        <v>Consumable Charges</v>
      </c>
      <c r="H9" t="e">
        <f>VLOOKUP(C:C,'[2]Final sheet'!$D$1:$D$65536,1,0)</f>
        <v>#N/A</v>
      </c>
      <c r="I9" t="e">
        <f>VLOOKUP(D:D,'[2]Final sheet'!$D$1:$D$65536,1,0)</f>
        <v>#N/A</v>
      </c>
    </row>
    <row r="10" spans="1:9" x14ac:dyDescent="0.25">
      <c r="A10" s="3">
        <v>500534</v>
      </c>
      <c r="B10" s="2" t="s">
        <v>16</v>
      </c>
      <c r="C10" s="3">
        <v>702036</v>
      </c>
      <c r="D10" s="2" t="s">
        <v>18</v>
      </c>
      <c r="E10">
        <f>VLOOKUP(A:A,[1]Sheet1!$A:$A,1,0)</f>
        <v>500534</v>
      </c>
      <c r="F10" s="5">
        <f>VLOOKUP(A:A,'[2]Final sheet'!$A$1:$A$65536,1,0)</f>
        <v>500534</v>
      </c>
      <c r="G10" t="str">
        <f>VLOOKUP(B:B,'[2]Final sheet'!$B$1:$B$65536,1,0)</f>
        <v>Consumable Charges</v>
      </c>
      <c r="H10" t="e">
        <f>VLOOKUP(C:C,'[2]Final sheet'!$D$1:$D$65536,1,0)</f>
        <v>#N/A</v>
      </c>
      <c r="I10" t="e">
        <f>VLOOKUP(D:D,'[2]Final sheet'!$D$1:$D$65536,1,0)</f>
        <v>#N/A</v>
      </c>
    </row>
    <row r="11" spans="1:9" x14ac:dyDescent="0.25">
      <c r="A11" s="3">
        <v>500535</v>
      </c>
      <c r="B11" s="2" t="s">
        <v>19</v>
      </c>
      <c r="C11" s="3">
        <v>702039</v>
      </c>
      <c r="D11" s="2" t="s">
        <v>20</v>
      </c>
      <c r="E11">
        <f>VLOOKUP(A:A,[1]Sheet1!$A:$A,1,0)</f>
        <v>500535</v>
      </c>
      <c r="F11" s="5">
        <f>VLOOKUP(A:A,'[2]Final sheet'!$A$1:$A$65536,1,0)</f>
        <v>500535</v>
      </c>
      <c r="G11" t="str">
        <f>VLOOKUP(B:B,'[2]Final sheet'!$B$1:$B$65536,1,0)</f>
        <v>Investigation Charges</v>
      </c>
      <c r="H11" t="e">
        <f>VLOOKUP(C:C,'[2]Final sheet'!$D$1:$D$65536,1,0)</f>
        <v>#N/A</v>
      </c>
      <c r="I11" t="e">
        <f>VLOOKUP(D:D,'[2]Final sheet'!$D$1:$D$65536,1,0)</f>
        <v>#N/A</v>
      </c>
    </row>
    <row r="12" spans="1:9" x14ac:dyDescent="0.25">
      <c r="A12" s="3">
        <v>702040</v>
      </c>
      <c r="B12" s="2" t="s">
        <v>21</v>
      </c>
      <c r="C12" s="3">
        <v>702047</v>
      </c>
      <c r="D12" s="2" t="s">
        <v>22</v>
      </c>
      <c r="E12" t="e">
        <f>VLOOKUP(A:A,[1]Sheet1!$A:$A,1,0)</f>
        <v>#N/A</v>
      </c>
      <c r="F12" s="5" t="e">
        <f>VLOOKUP(A:A,'[2]Final sheet'!$A$1:$A$65536,1,0)</f>
        <v>#N/A</v>
      </c>
      <c r="G12" t="e">
        <f>VLOOKUP(B:B,'[2]Final sheet'!$B$1:$B$65536,1,0)</f>
        <v>#N/A</v>
      </c>
      <c r="H12" t="e">
        <f>VLOOKUP(C:C,'[2]Final sheet'!$D$1:$D$65536,1,0)</f>
        <v>#N/A</v>
      </c>
      <c r="I12" t="e">
        <f>VLOOKUP(D:D,'[2]Final sheet'!$D$1:$D$65536,1,0)</f>
        <v>#N/A</v>
      </c>
    </row>
    <row r="13" spans="1:9" x14ac:dyDescent="0.25">
      <c r="A13" s="3">
        <v>702040</v>
      </c>
      <c r="B13" s="2" t="s">
        <v>21</v>
      </c>
      <c r="C13" s="3">
        <v>702048</v>
      </c>
      <c r="D13" s="2" t="s">
        <v>23</v>
      </c>
      <c r="E13" t="e">
        <f>VLOOKUP(A:A,[1]Sheet1!$A:$A,1,0)</f>
        <v>#N/A</v>
      </c>
      <c r="F13" s="5" t="e">
        <f>VLOOKUP(A:A,'[2]Final sheet'!$A$1:$A$65536,1,0)</f>
        <v>#N/A</v>
      </c>
      <c r="G13" t="e">
        <f>VLOOKUP(B:B,'[2]Final sheet'!$B$1:$B$65536,1,0)</f>
        <v>#N/A</v>
      </c>
      <c r="H13" t="e">
        <f>VLOOKUP(C:C,'[2]Final sheet'!$D$1:$D$65536,1,0)</f>
        <v>#N/A</v>
      </c>
      <c r="I13" t="e">
        <f>VLOOKUP(D:D,'[2]Final sheet'!$D$1:$D$65536,1,0)</f>
        <v>#N/A</v>
      </c>
    </row>
    <row r="14" spans="1:9" x14ac:dyDescent="0.25">
      <c r="A14" s="3">
        <v>702046</v>
      </c>
      <c r="B14" s="2" t="s">
        <v>24</v>
      </c>
      <c r="C14" s="3">
        <v>702100</v>
      </c>
      <c r="D14" s="2" t="s">
        <v>25</v>
      </c>
      <c r="E14" t="e">
        <f>VLOOKUP(A:A,[1]Sheet1!$A:$A,1,0)</f>
        <v>#N/A</v>
      </c>
      <c r="F14" s="5" t="e">
        <f>VLOOKUP(A:A,'[2]Final sheet'!$A$1:$A$65536,1,0)</f>
        <v>#N/A</v>
      </c>
      <c r="G14" t="e">
        <f>VLOOKUP(B:B,'[2]Final sheet'!$B$1:$B$65536,1,0)</f>
        <v>#N/A</v>
      </c>
      <c r="H14" t="e">
        <f>VLOOKUP(C:C,'[2]Final sheet'!$D$1:$D$65536,1,0)</f>
        <v>#N/A</v>
      </c>
      <c r="I14" t="e">
        <f>VLOOKUP(D:D,'[2]Final sheet'!$D$1:$D$65536,1,0)</f>
        <v>#N/A</v>
      </c>
    </row>
    <row r="15" spans="1:9" x14ac:dyDescent="0.25">
      <c r="A15" s="3">
        <v>702046</v>
      </c>
      <c r="B15" s="2" t="s">
        <v>24</v>
      </c>
      <c r="C15" s="3">
        <v>702101</v>
      </c>
      <c r="D15" s="2" t="s">
        <v>26</v>
      </c>
      <c r="E15" t="e">
        <f>VLOOKUP(A:A,[1]Sheet1!$A:$A,1,0)</f>
        <v>#N/A</v>
      </c>
      <c r="F15" s="5" t="e">
        <f>VLOOKUP(A:A,'[2]Final sheet'!$A$1:$A$65536,1,0)</f>
        <v>#N/A</v>
      </c>
      <c r="G15" t="e">
        <f>VLOOKUP(B:B,'[2]Final sheet'!$B$1:$B$65536,1,0)</f>
        <v>#N/A</v>
      </c>
      <c r="H15" t="e">
        <f>VLOOKUP(C:C,'[2]Final sheet'!$D$1:$D$65536,1,0)</f>
        <v>#N/A</v>
      </c>
      <c r="I15" t="e">
        <f>VLOOKUP(D:D,'[2]Final sheet'!$D$1:$D$65536,1,0)</f>
        <v>#N/A</v>
      </c>
    </row>
    <row r="16" spans="1:9" x14ac:dyDescent="0.25">
      <c r="A16" s="3">
        <v>702046</v>
      </c>
      <c r="B16" s="2" t="s">
        <v>24</v>
      </c>
      <c r="C16" s="3">
        <v>702102</v>
      </c>
      <c r="D16" s="2" t="s">
        <v>27</v>
      </c>
      <c r="E16" t="e">
        <f>VLOOKUP(A:A,[1]Sheet1!$A:$A,1,0)</f>
        <v>#N/A</v>
      </c>
      <c r="F16" s="5" t="e">
        <f>VLOOKUP(A:A,'[2]Final sheet'!$A$1:$A$65536,1,0)</f>
        <v>#N/A</v>
      </c>
      <c r="G16" t="e">
        <f>VLOOKUP(B:B,'[2]Final sheet'!$B$1:$B$65536,1,0)</f>
        <v>#N/A</v>
      </c>
      <c r="H16" t="e">
        <f>VLOOKUP(C:C,'[2]Final sheet'!$D$1:$D$65536,1,0)</f>
        <v>#N/A</v>
      </c>
      <c r="I16" t="e">
        <f>VLOOKUP(D:D,'[2]Final sheet'!$D$1:$D$65536,1,0)</f>
        <v>#N/A</v>
      </c>
    </row>
    <row r="17" spans="1:9" x14ac:dyDescent="0.25">
      <c r="A17" s="3">
        <v>702046</v>
      </c>
      <c r="B17" s="2" t="s">
        <v>24</v>
      </c>
      <c r="C17" s="3">
        <v>702103</v>
      </c>
      <c r="D17" s="2" t="s">
        <v>28</v>
      </c>
      <c r="E17" t="e">
        <f>VLOOKUP(A:A,[1]Sheet1!$A:$A,1,0)</f>
        <v>#N/A</v>
      </c>
      <c r="F17" s="5" t="e">
        <f>VLOOKUP(A:A,'[2]Final sheet'!$A$1:$A$65536,1,0)</f>
        <v>#N/A</v>
      </c>
      <c r="G17" t="e">
        <f>VLOOKUP(B:B,'[2]Final sheet'!$B$1:$B$65536,1,0)</f>
        <v>#N/A</v>
      </c>
      <c r="H17" t="e">
        <f>VLOOKUP(C:C,'[2]Final sheet'!$D$1:$D$65536,1,0)</f>
        <v>#N/A</v>
      </c>
      <c r="I17" t="e">
        <f>VLOOKUP(D:D,'[2]Final sheet'!$D$1:$D$65536,1,0)</f>
        <v>#N/A</v>
      </c>
    </row>
    <row r="18" spans="1:9" x14ac:dyDescent="0.25">
      <c r="A18" s="3">
        <v>702046</v>
      </c>
      <c r="B18" s="2" t="s">
        <v>24</v>
      </c>
      <c r="C18" s="3">
        <v>702104</v>
      </c>
      <c r="D18" s="2" t="s">
        <v>29</v>
      </c>
      <c r="E18" t="e">
        <f>VLOOKUP(A:A,[1]Sheet1!$A:$A,1,0)</f>
        <v>#N/A</v>
      </c>
      <c r="F18" s="5" t="e">
        <f>VLOOKUP(A:A,'[2]Final sheet'!$A$1:$A$65536,1,0)</f>
        <v>#N/A</v>
      </c>
      <c r="G18" t="e">
        <f>VLOOKUP(B:B,'[2]Final sheet'!$B$1:$B$65536,1,0)</f>
        <v>#N/A</v>
      </c>
      <c r="H18" t="e">
        <f>VLOOKUP(C:C,'[2]Final sheet'!$D$1:$D$65536,1,0)</f>
        <v>#N/A</v>
      </c>
      <c r="I18" t="e">
        <f>VLOOKUP(D:D,'[2]Final sheet'!$D$1:$D$65536,1,0)</f>
        <v>#N/A</v>
      </c>
    </row>
    <row r="19" spans="1:9" x14ac:dyDescent="0.25">
      <c r="A19" s="3">
        <v>702046</v>
      </c>
      <c r="B19" s="2" t="s">
        <v>24</v>
      </c>
      <c r="C19" s="3">
        <v>702105</v>
      </c>
      <c r="D19" s="2" t="s">
        <v>30</v>
      </c>
      <c r="E19" t="e">
        <f>VLOOKUP(A:A,[1]Sheet1!$A:$A,1,0)</f>
        <v>#N/A</v>
      </c>
      <c r="F19" s="5" t="e">
        <f>VLOOKUP(A:A,'[2]Final sheet'!$A$1:$A$65536,1,0)</f>
        <v>#N/A</v>
      </c>
      <c r="G19" t="e">
        <f>VLOOKUP(B:B,'[2]Final sheet'!$B$1:$B$65536,1,0)</f>
        <v>#N/A</v>
      </c>
      <c r="H19" t="e">
        <f>VLOOKUP(C:C,'[2]Final sheet'!$D$1:$D$65536,1,0)</f>
        <v>#N/A</v>
      </c>
      <c r="I19" t="e">
        <f>VLOOKUP(D:D,'[2]Final sheet'!$D$1:$D$65536,1,0)</f>
        <v>#N/A</v>
      </c>
    </row>
    <row r="20" spans="1:9" x14ac:dyDescent="0.25">
      <c r="A20" s="3">
        <v>702046</v>
      </c>
      <c r="B20" s="2" t="s">
        <v>24</v>
      </c>
      <c r="C20" s="3">
        <v>702106</v>
      </c>
      <c r="D20" s="2" t="s">
        <v>31</v>
      </c>
      <c r="E20" t="e">
        <f>VLOOKUP(A:A,[1]Sheet1!$A:$A,1,0)</f>
        <v>#N/A</v>
      </c>
      <c r="F20" s="5" t="e">
        <f>VLOOKUP(A:A,'[2]Final sheet'!$A$1:$A$65536,1,0)</f>
        <v>#N/A</v>
      </c>
      <c r="G20" t="e">
        <f>VLOOKUP(B:B,'[2]Final sheet'!$B$1:$B$65536,1,0)</f>
        <v>#N/A</v>
      </c>
      <c r="H20" t="e">
        <f>VLOOKUP(C:C,'[2]Final sheet'!$D$1:$D$65536,1,0)</f>
        <v>#N/A</v>
      </c>
      <c r="I20" t="e">
        <f>VLOOKUP(D:D,'[2]Final sheet'!$D$1:$D$65536,1,0)</f>
        <v>#N/A</v>
      </c>
    </row>
    <row r="21" spans="1:9" x14ac:dyDescent="0.25">
      <c r="A21" s="3">
        <v>702092</v>
      </c>
      <c r="B21" s="2" t="s">
        <v>32</v>
      </c>
      <c r="C21" s="3">
        <v>702107</v>
      </c>
      <c r="D21" s="2" t="s">
        <v>33</v>
      </c>
      <c r="E21" t="e">
        <f>VLOOKUP(A:A,[1]Sheet1!$A:$A,1,0)</f>
        <v>#N/A</v>
      </c>
      <c r="F21" s="5" t="e">
        <f>VLOOKUP(A:A,'[2]Final sheet'!$A$1:$A$65536,1,0)</f>
        <v>#N/A</v>
      </c>
      <c r="G21" t="e">
        <f>VLOOKUP(B:B,'[2]Final sheet'!$B$1:$B$65536,1,0)</f>
        <v>#N/A</v>
      </c>
      <c r="H21" t="e">
        <f>VLOOKUP(C:C,'[2]Final sheet'!$D$1:$D$65536,1,0)</f>
        <v>#N/A</v>
      </c>
      <c r="I21" t="e">
        <f>VLOOKUP(D:D,'[2]Final sheet'!$D$1:$D$65536,1,0)</f>
        <v>#N/A</v>
      </c>
    </row>
    <row r="22" spans="1:9" x14ac:dyDescent="0.25">
      <c r="A22" s="3">
        <v>702092</v>
      </c>
      <c r="B22" s="2" t="s">
        <v>32</v>
      </c>
      <c r="C22" s="3">
        <v>702108</v>
      </c>
      <c r="D22" s="2" t="s">
        <v>34</v>
      </c>
      <c r="E22" t="e">
        <f>VLOOKUP(A:A,[1]Sheet1!$A:$A,1,0)</f>
        <v>#N/A</v>
      </c>
      <c r="F22" s="5" t="e">
        <f>VLOOKUP(A:A,'[2]Final sheet'!$A$1:$A$65536,1,0)</f>
        <v>#N/A</v>
      </c>
      <c r="G22" t="e">
        <f>VLOOKUP(B:B,'[2]Final sheet'!$B$1:$B$65536,1,0)</f>
        <v>#N/A</v>
      </c>
      <c r="H22" t="e">
        <f>VLOOKUP(C:C,'[2]Final sheet'!$D$1:$D$65536,1,0)</f>
        <v>#N/A</v>
      </c>
      <c r="I22" t="e">
        <f>VLOOKUP(D:D,'[2]Final sheet'!$D$1:$D$65536,1,0)</f>
        <v>#N/A</v>
      </c>
    </row>
    <row r="23" spans="1:9" x14ac:dyDescent="0.25">
      <c r="A23" s="3">
        <v>702092</v>
      </c>
      <c r="B23" s="2" t="s">
        <v>32</v>
      </c>
      <c r="C23" s="3">
        <v>702109</v>
      </c>
      <c r="D23" s="2" t="s">
        <v>35</v>
      </c>
      <c r="E23" t="e">
        <f>VLOOKUP(A:A,[1]Sheet1!$A:$A,1,0)</f>
        <v>#N/A</v>
      </c>
      <c r="F23" s="5" t="e">
        <f>VLOOKUP(A:A,'[2]Final sheet'!$A$1:$A$65536,1,0)</f>
        <v>#N/A</v>
      </c>
      <c r="G23" t="e">
        <f>VLOOKUP(B:B,'[2]Final sheet'!$B$1:$B$65536,1,0)</f>
        <v>#N/A</v>
      </c>
      <c r="H23" t="e">
        <f>VLOOKUP(C:C,'[2]Final sheet'!$D$1:$D$65536,1,0)</f>
        <v>#N/A</v>
      </c>
      <c r="I23" t="e">
        <f>VLOOKUP(D:D,'[2]Final sheet'!$D$1:$D$65536,1,0)</f>
        <v>#N/A</v>
      </c>
    </row>
    <row r="24" spans="1:9" x14ac:dyDescent="0.25">
      <c r="A24" s="3">
        <v>702092</v>
      </c>
      <c r="B24" s="2" t="s">
        <v>32</v>
      </c>
      <c r="C24" s="3">
        <v>702110</v>
      </c>
      <c r="D24" s="2" t="s">
        <v>36</v>
      </c>
      <c r="E24" t="e">
        <f>VLOOKUP(A:A,[1]Sheet1!$A:$A,1,0)</f>
        <v>#N/A</v>
      </c>
      <c r="F24" s="5" t="e">
        <f>VLOOKUP(A:A,'[2]Final sheet'!$A$1:$A$65536,1,0)</f>
        <v>#N/A</v>
      </c>
      <c r="G24" t="e">
        <f>VLOOKUP(B:B,'[2]Final sheet'!$B$1:$B$65536,1,0)</f>
        <v>#N/A</v>
      </c>
      <c r="H24" t="e">
        <f>VLOOKUP(C:C,'[2]Final sheet'!$D$1:$D$65536,1,0)</f>
        <v>#N/A</v>
      </c>
      <c r="I24" t="e">
        <f>VLOOKUP(D:D,'[2]Final sheet'!$D$1:$D$65536,1,0)</f>
        <v>#N/A</v>
      </c>
    </row>
    <row r="25" spans="1:9" x14ac:dyDescent="0.25">
      <c r="A25" s="3">
        <v>702092</v>
      </c>
      <c r="B25" s="2" t="s">
        <v>32</v>
      </c>
      <c r="C25" s="3">
        <v>702111</v>
      </c>
      <c r="D25" s="2" t="s">
        <v>37</v>
      </c>
      <c r="E25" t="e">
        <f>VLOOKUP(A:A,[1]Sheet1!$A:$A,1,0)</f>
        <v>#N/A</v>
      </c>
      <c r="F25" s="5" t="e">
        <f>VLOOKUP(A:A,'[2]Final sheet'!$A$1:$A$65536,1,0)</f>
        <v>#N/A</v>
      </c>
      <c r="G25" t="e">
        <f>VLOOKUP(B:B,'[2]Final sheet'!$B$1:$B$65536,1,0)</f>
        <v>#N/A</v>
      </c>
      <c r="H25" t="e">
        <f>VLOOKUP(C:C,'[2]Final sheet'!$D$1:$D$65536,1,0)</f>
        <v>#N/A</v>
      </c>
      <c r="I25" t="e">
        <f>VLOOKUP(D:D,'[2]Final sheet'!$D$1:$D$65536,1,0)</f>
        <v>#N/A</v>
      </c>
    </row>
    <row r="26" spans="1:9" x14ac:dyDescent="0.25">
      <c r="A26" s="3">
        <v>702045</v>
      </c>
      <c r="B26" s="2" t="s">
        <v>38</v>
      </c>
      <c r="C26" s="3">
        <v>702112</v>
      </c>
      <c r="D26" s="2" t="s">
        <v>39</v>
      </c>
      <c r="E26" t="e">
        <f>VLOOKUP(A:A,[1]Sheet1!$A:$A,1,0)</f>
        <v>#N/A</v>
      </c>
      <c r="F26" s="5" t="e">
        <f>VLOOKUP(A:A,'[2]Final sheet'!$A$1:$A$65536,1,0)</f>
        <v>#N/A</v>
      </c>
      <c r="G26" t="e">
        <f>VLOOKUP(B:B,'[2]Final sheet'!$B$1:$B$65536,1,0)</f>
        <v>#N/A</v>
      </c>
      <c r="H26" t="e">
        <f>VLOOKUP(C:C,'[2]Final sheet'!$D$1:$D$65536,1,0)</f>
        <v>#N/A</v>
      </c>
      <c r="I26" t="e">
        <f>VLOOKUP(D:D,'[2]Final sheet'!$D$1:$D$65536,1,0)</f>
        <v>#N/A</v>
      </c>
    </row>
    <row r="27" spans="1:9" x14ac:dyDescent="0.25">
      <c r="A27" s="3">
        <v>702045</v>
      </c>
      <c r="B27" s="2" t="s">
        <v>38</v>
      </c>
      <c r="C27" s="3">
        <v>702113</v>
      </c>
      <c r="D27" s="2" t="s">
        <v>40</v>
      </c>
      <c r="E27" t="e">
        <f>VLOOKUP(A:A,[1]Sheet1!$A:$A,1,0)</f>
        <v>#N/A</v>
      </c>
      <c r="F27" s="5" t="e">
        <f>VLOOKUP(A:A,'[2]Final sheet'!$A$1:$A$65536,1,0)</f>
        <v>#N/A</v>
      </c>
      <c r="G27" t="e">
        <f>VLOOKUP(B:B,'[2]Final sheet'!$B$1:$B$65536,1,0)</f>
        <v>#N/A</v>
      </c>
      <c r="H27" t="e">
        <f>VLOOKUP(C:C,'[2]Final sheet'!$D$1:$D$65536,1,0)</f>
        <v>#N/A</v>
      </c>
      <c r="I27" t="e">
        <f>VLOOKUP(D:D,'[2]Final sheet'!$D$1:$D$65536,1,0)</f>
        <v>#N/A</v>
      </c>
    </row>
    <row r="28" spans="1:9" x14ac:dyDescent="0.25">
      <c r="A28" s="3">
        <v>702045</v>
      </c>
      <c r="B28" s="2" t="s">
        <v>38</v>
      </c>
      <c r="C28" s="3">
        <v>702114</v>
      </c>
      <c r="D28" s="2" t="s">
        <v>41</v>
      </c>
      <c r="E28" t="e">
        <f>VLOOKUP(A:A,[1]Sheet1!$A:$A,1,0)</f>
        <v>#N/A</v>
      </c>
      <c r="F28" s="5" t="e">
        <f>VLOOKUP(A:A,'[2]Final sheet'!$A$1:$A$65536,1,0)</f>
        <v>#N/A</v>
      </c>
      <c r="G28" t="e">
        <f>VLOOKUP(B:B,'[2]Final sheet'!$B$1:$B$65536,1,0)</f>
        <v>#N/A</v>
      </c>
      <c r="H28" t="e">
        <f>VLOOKUP(C:C,'[2]Final sheet'!$D$1:$D$65536,1,0)</f>
        <v>#N/A</v>
      </c>
      <c r="I28" t="e">
        <f>VLOOKUP(D:D,'[2]Final sheet'!$D$1:$D$65536,1,0)</f>
        <v>#N/A</v>
      </c>
    </row>
    <row r="29" spans="1:9" x14ac:dyDescent="0.25">
      <c r="A29" s="3">
        <v>702045</v>
      </c>
      <c r="B29" s="2" t="s">
        <v>38</v>
      </c>
      <c r="C29" s="3">
        <v>702115</v>
      </c>
      <c r="D29" s="2" t="s">
        <v>42</v>
      </c>
      <c r="E29" t="e">
        <f>VLOOKUP(A:A,[1]Sheet1!$A:$A,1,0)</f>
        <v>#N/A</v>
      </c>
      <c r="F29" s="5" t="e">
        <f>VLOOKUP(A:A,'[2]Final sheet'!$A$1:$A$65536,1,0)</f>
        <v>#N/A</v>
      </c>
      <c r="G29" t="e">
        <f>VLOOKUP(B:B,'[2]Final sheet'!$B$1:$B$65536,1,0)</f>
        <v>#N/A</v>
      </c>
      <c r="H29" t="e">
        <f>VLOOKUP(C:C,'[2]Final sheet'!$D$1:$D$65536,1,0)</f>
        <v>#N/A</v>
      </c>
      <c r="I29" t="e">
        <f>VLOOKUP(D:D,'[2]Final sheet'!$D$1:$D$65536,1,0)</f>
        <v>#N/A</v>
      </c>
    </row>
    <row r="30" spans="1:9" x14ac:dyDescent="0.25">
      <c r="A30" s="3">
        <v>702045</v>
      </c>
      <c r="B30" s="2" t="s">
        <v>38</v>
      </c>
      <c r="C30" s="3">
        <v>702116</v>
      </c>
      <c r="D30" s="2" t="s">
        <v>43</v>
      </c>
      <c r="E30" t="e">
        <f>VLOOKUP(A:A,[1]Sheet1!$A:$A,1,0)</f>
        <v>#N/A</v>
      </c>
      <c r="F30" s="5" t="e">
        <f>VLOOKUP(A:A,'[2]Final sheet'!$A$1:$A$65536,1,0)</f>
        <v>#N/A</v>
      </c>
      <c r="G30" t="e">
        <f>VLOOKUP(B:B,'[2]Final sheet'!$B$1:$B$65536,1,0)</f>
        <v>#N/A</v>
      </c>
      <c r="H30" t="e">
        <f>VLOOKUP(C:C,'[2]Final sheet'!$D$1:$D$65536,1,0)</f>
        <v>#N/A</v>
      </c>
      <c r="I30" t="e">
        <f>VLOOKUP(D:D,'[2]Final sheet'!$D$1:$D$65536,1,0)</f>
        <v>#N/A</v>
      </c>
    </row>
    <row r="31" spans="1:9" x14ac:dyDescent="0.25">
      <c r="A31" s="3">
        <v>702045</v>
      </c>
      <c r="B31" s="2" t="s">
        <v>38</v>
      </c>
      <c r="C31" s="3">
        <v>702117</v>
      </c>
      <c r="D31" s="2" t="s">
        <v>44</v>
      </c>
      <c r="E31" t="e">
        <f>VLOOKUP(A:A,[1]Sheet1!$A:$A,1,0)</f>
        <v>#N/A</v>
      </c>
      <c r="F31" s="5" t="e">
        <f>VLOOKUP(A:A,'[2]Final sheet'!$A$1:$A$65536,1,0)</f>
        <v>#N/A</v>
      </c>
      <c r="G31" t="e">
        <f>VLOOKUP(B:B,'[2]Final sheet'!$B$1:$B$65536,1,0)</f>
        <v>#N/A</v>
      </c>
      <c r="H31" t="e">
        <f>VLOOKUP(C:C,'[2]Final sheet'!$D$1:$D$65536,1,0)</f>
        <v>#N/A</v>
      </c>
      <c r="I31" t="e">
        <f>VLOOKUP(D:D,'[2]Final sheet'!$D$1:$D$65536,1,0)</f>
        <v>#N/A</v>
      </c>
    </row>
    <row r="32" spans="1:9" x14ac:dyDescent="0.25">
      <c r="A32" s="3">
        <v>702045</v>
      </c>
      <c r="B32" s="2" t="s">
        <v>38</v>
      </c>
      <c r="C32" s="3">
        <v>702118</v>
      </c>
      <c r="D32" s="2" t="s">
        <v>45</v>
      </c>
      <c r="E32" t="e">
        <f>VLOOKUP(A:A,[1]Sheet1!$A:$A,1,0)</f>
        <v>#N/A</v>
      </c>
      <c r="F32" s="5" t="e">
        <f>VLOOKUP(A:A,'[2]Final sheet'!$A$1:$A$65536,1,0)</f>
        <v>#N/A</v>
      </c>
      <c r="G32" t="e">
        <f>VLOOKUP(B:B,'[2]Final sheet'!$B$1:$B$65536,1,0)</f>
        <v>#N/A</v>
      </c>
      <c r="H32" t="e">
        <f>VLOOKUP(C:C,'[2]Final sheet'!$D$1:$D$65536,1,0)</f>
        <v>#N/A</v>
      </c>
      <c r="I32" t="e">
        <f>VLOOKUP(D:D,'[2]Final sheet'!$D$1:$D$65536,1,0)</f>
        <v>#N/A</v>
      </c>
    </row>
    <row r="33" spans="1:9" x14ac:dyDescent="0.25">
      <c r="A33" s="3">
        <v>702128</v>
      </c>
      <c r="B33" s="2" t="s">
        <v>46</v>
      </c>
      <c r="C33" s="3">
        <v>702130</v>
      </c>
      <c r="D33" s="2" t="s">
        <v>47</v>
      </c>
      <c r="E33">
        <f>VLOOKUP(A:A,[1]Sheet1!$A:$A,1,0)</f>
        <v>702128</v>
      </c>
      <c r="F33" s="5" t="e">
        <f>VLOOKUP(A:A,'[2]Final sheet'!$A$1:$A$65536,1,0)</f>
        <v>#N/A</v>
      </c>
      <c r="G33" t="e">
        <f>VLOOKUP(B:B,'[2]Final sheet'!$B$1:$B$65536,1,0)</f>
        <v>#N/A</v>
      </c>
      <c r="H33" t="e">
        <f>VLOOKUP(C:C,'[2]Final sheet'!$D$1:$D$65536,1,0)</f>
        <v>#N/A</v>
      </c>
      <c r="I33" t="e">
        <f>VLOOKUP(D:D,'[2]Final sheet'!$D$1:$D$65536,1,0)</f>
        <v>#N/A</v>
      </c>
    </row>
    <row r="34" spans="1:9" x14ac:dyDescent="0.25">
      <c r="A34" s="3">
        <v>702128</v>
      </c>
      <c r="B34" s="2" t="s">
        <v>46</v>
      </c>
      <c r="C34" s="3">
        <v>702131</v>
      </c>
      <c r="D34" s="2" t="s">
        <v>48</v>
      </c>
      <c r="E34">
        <f>VLOOKUP(A:A,[1]Sheet1!$A:$A,1,0)</f>
        <v>702128</v>
      </c>
      <c r="F34" s="5" t="e">
        <f>VLOOKUP(A:A,'[2]Final sheet'!$A$1:$A$65536,1,0)</f>
        <v>#N/A</v>
      </c>
      <c r="G34" t="e">
        <f>VLOOKUP(B:B,'[2]Final sheet'!$B$1:$B$65536,1,0)</f>
        <v>#N/A</v>
      </c>
      <c r="H34" t="e">
        <f>VLOOKUP(C:C,'[2]Final sheet'!$D$1:$D$65536,1,0)</f>
        <v>#N/A</v>
      </c>
      <c r="I34" t="e">
        <f>VLOOKUP(D:D,'[2]Final sheet'!$D$1:$D$65536,1,0)</f>
        <v>#N/A</v>
      </c>
    </row>
    <row r="35" spans="1:9" x14ac:dyDescent="0.25">
      <c r="A35" s="3">
        <v>702128</v>
      </c>
      <c r="B35" s="2" t="s">
        <v>46</v>
      </c>
      <c r="C35" s="3">
        <v>702132</v>
      </c>
      <c r="D35" s="2" t="s">
        <v>49</v>
      </c>
      <c r="E35">
        <f>VLOOKUP(A:A,[1]Sheet1!$A:$A,1,0)</f>
        <v>702128</v>
      </c>
      <c r="F35" s="5" t="e">
        <f>VLOOKUP(A:A,'[2]Final sheet'!$A$1:$A$65536,1,0)</f>
        <v>#N/A</v>
      </c>
      <c r="G35" t="e">
        <f>VLOOKUP(B:B,'[2]Final sheet'!$B$1:$B$65536,1,0)</f>
        <v>#N/A</v>
      </c>
      <c r="H35" t="e">
        <f>VLOOKUP(C:C,'[2]Final sheet'!$D$1:$D$65536,1,0)</f>
        <v>#N/A</v>
      </c>
      <c r="I35" t="e">
        <f>VLOOKUP(D:D,'[2]Final sheet'!$D$1:$D$65536,1,0)</f>
        <v>#N/A</v>
      </c>
    </row>
    <row r="36" spans="1:9" x14ac:dyDescent="0.25">
      <c r="A36" s="3">
        <v>702138</v>
      </c>
      <c r="B36" s="2" t="s">
        <v>50</v>
      </c>
      <c r="C36" s="3">
        <v>702142</v>
      </c>
      <c r="D36" s="2" t="s">
        <v>51</v>
      </c>
      <c r="E36" t="e">
        <f>VLOOKUP(A:A,[1]Sheet1!$A:$A,1,0)</f>
        <v>#N/A</v>
      </c>
      <c r="F36" s="5" t="e">
        <f>VLOOKUP(A:A,'[2]Final sheet'!$A$1:$A$65536,1,0)</f>
        <v>#N/A</v>
      </c>
      <c r="G36" t="e">
        <f>VLOOKUP(B:B,'[2]Final sheet'!$B$1:$B$65536,1,0)</f>
        <v>#N/A</v>
      </c>
      <c r="H36" t="e">
        <f>VLOOKUP(C:C,'[2]Final sheet'!$D$1:$D$65536,1,0)</f>
        <v>#N/A</v>
      </c>
      <c r="I36" t="e">
        <f>VLOOKUP(D:D,'[2]Final sheet'!$D$1:$D$65536,1,0)</f>
        <v>#N/A</v>
      </c>
    </row>
    <row r="37" spans="1:9" x14ac:dyDescent="0.25">
      <c r="A37" s="3">
        <v>702138</v>
      </c>
      <c r="B37" s="2" t="s">
        <v>50</v>
      </c>
      <c r="C37" s="3">
        <v>702143</v>
      </c>
      <c r="D37" s="2" t="s">
        <v>52</v>
      </c>
      <c r="E37" t="e">
        <f>VLOOKUP(A:A,[1]Sheet1!$A:$A,1,0)</f>
        <v>#N/A</v>
      </c>
      <c r="F37" s="5" t="e">
        <f>VLOOKUP(A:A,'[2]Final sheet'!$A$1:$A$65536,1,0)</f>
        <v>#N/A</v>
      </c>
      <c r="G37" t="e">
        <f>VLOOKUP(B:B,'[2]Final sheet'!$B$1:$B$65536,1,0)</f>
        <v>#N/A</v>
      </c>
      <c r="H37" t="e">
        <f>VLOOKUP(C:C,'[2]Final sheet'!$D$1:$D$65536,1,0)</f>
        <v>#N/A</v>
      </c>
      <c r="I37" t="e">
        <f>VLOOKUP(D:D,'[2]Final sheet'!$D$1:$D$65536,1,0)</f>
        <v>#N/A</v>
      </c>
    </row>
    <row r="38" spans="1:9" x14ac:dyDescent="0.25">
      <c r="A38" s="3">
        <v>702138</v>
      </c>
      <c r="B38" s="2" t="s">
        <v>50</v>
      </c>
      <c r="C38" s="3">
        <v>702144</v>
      </c>
      <c r="D38" s="2" t="s">
        <v>53</v>
      </c>
      <c r="E38" t="e">
        <f>VLOOKUP(A:A,[1]Sheet1!$A:$A,1,0)</f>
        <v>#N/A</v>
      </c>
      <c r="F38" s="5" t="e">
        <f>VLOOKUP(A:A,'[2]Final sheet'!$A$1:$A$65536,1,0)</f>
        <v>#N/A</v>
      </c>
      <c r="G38" t="e">
        <f>VLOOKUP(B:B,'[2]Final sheet'!$B$1:$B$65536,1,0)</f>
        <v>#N/A</v>
      </c>
      <c r="H38" t="e">
        <f>VLOOKUP(C:C,'[2]Final sheet'!$D$1:$D$65536,1,0)</f>
        <v>#N/A</v>
      </c>
      <c r="I38" t="e">
        <f>VLOOKUP(D:D,'[2]Final sheet'!$D$1:$D$65536,1,0)</f>
        <v>#N/A</v>
      </c>
    </row>
    <row r="39" spans="1:9" x14ac:dyDescent="0.25">
      <c r="A39" s="3">
        <v>702153</v>
      </c>
      <c r="B39" s="2" t="s">
        <v>54</v>
      </c>
      <c r="C39" s="3">
        <v>702154</v>
      </c>
      <c r="D39" s="2" t="s">
        <v>55</v>
      </c>
      <c r="E39">
        <f>VLOOKUP(A:A,[1]Sheet1!$A:$A,1,0)</f>
        <v>702153</v>
      </c>
      <c r="F39" s="5" t="e">
        <f>VLOOKUP(A:A,'[2]Final sheet'!$A$1:$A$65536,1,0)</f>
        <v>#N/A</v>
      </c>
      <c r="G39" t="e">
        <f>VLOOKUP(B:B,'[2]Final sheet'!$B$1:$B$65536,1,0)</f>
        <v>#N/A</v>
      </c>
      <c r="H39" t="e">
        <f>VLOOKUP(C:C,'[2]Final sheet'!$D$1:$D$65536,1,0)</f>
        <v>#N/A</v>
      </c>
      <c r="I39" t="e">
        <f>VLOOKUP(D:D,'[2]Final sheet'!$D$1:$D$65536,1,0)</f>
        <v>#N/A</v>
      </c>
    </row>
    <row r="40" spans="1:9" x14ac:dyDescent="0.25">
      <c r="A40" s="3">
        <v>702158</v>
      </c>
      <c r="B40" s="2" t="s">
        <v>56</v>
      </c>
      <c r="C40" s="3">
        <v>702163</v>
      </c>
      <c r="D40" s="2" t="s">
        <v>57</v>
      </c>
      <c r="E40">
        <f>VLOOKUP(A:A,[1]Sheet1!$A:$A,1,0)</f>
        <v>702158</v>
      </c>
      <c r="F40" s="5" t="e">
        <f>VLOOKUP(A:A,'[2]Final sheet'!$A$1:$A$65536,1,0)</f>
        <v>#N/A</v>
      </c>
      <c r="G40" t="e">
        <f>VLOOKUP(B:B,'[2]Final sheet'!$B$1:$B$65536,1,0)</f>
        <v>#N/A</v>
      </c>
      <c r="H40" t="e">
        <f>VLOOKUP(C:C,'[2]Final sheet'!$D$1:$D$65536,1,0)</f>
        <v>#N/A</v>
      </c>
      <c r="I40" t="e">
        <f>VLOOKUP(D:D,'[2]Final sheet'!$D$1:$D$65536,1,0)</f>
        <v>#N/A</v>
      </c>
    </row>
    <row r="41" spans="1:9" x14ac:dyDescent="0.25">
      <c r="A41" s="3">
        <v>702158</v>
      </c>
      <c r="B41" s="2" t="s">
        <v>56</v>
      </c>
      <c r="C41" s="3">
        <v>702159</v>
      </c>
      <c r="D41" s="2" t="s">
        <v>58</v>
      </c>
      <c r="E41">
        <f>VLOOKUP(A:A,[1]Sheet1!$A:$A,1,0)</f>
        <v>702158</v>
      </c>
      <c r="F41" s="5" t="e">
        <f>VLOOKUP(A:A,'[2]Final sheet'!$A$1:$A$65536,1,0)</f>
        <v>#N/A</v>
      </c>
      <c r="G41" t="e">
        <f>VLOOKUP(B:B,'[2]Final sheet'!$B$1:$B$65536,1,0)</f>
        <v>#N/A</v>
      </c>
      <c r="H41" t="e">
        <f>VLOOKUP(C:C,'[2]Final sheet'!$D$1:$D$65536,1,0)</f>
        <v>#N/A</v>
      </c>
      <c r="I41" t="e">
        <f>VLOOKUP(D:D,'[2]Final sheet'!$D$1:$D$65536,1,0)</f>
        <v>#N/A</v>
      </c>
    </row>
    <row r="42" spans="1:9" x14ac:dyDescent="0.25">
      <c r="A42" s="3">
        <v>702157</v>
      </c>
      <c r="B42" s="2" t="s">
        <v>59</v>
      </c>
      <c r="C42" s="3">
        <v>702161</v>
      </c>
      <c r="D42" s="2" t="s">
        <v>57</v>
      </c>
      <c r="E42" t="e">
        <f>VLOOKUP(A:A,[1]Sheet1!$A:$A,1,0)</f>
        <v>#N/A</v>
      </c>
      <c r="F42" s="5" t="e">
        <f>VLOOKUP(A:A,'[2]Final sheet'!$A$1:$A$65536,1,0)</f>
        <v>#N/A</v>
      </c>
      <c r="G42" t="e">
        <f>VLOOKUP(B:B,'[2]Final sheet'!$B$1:$B$65536,1,0)</f>
        <v>#N/A</v>
      </c>
      <c r="H42" t="e">
        <f>VLOOKUP(C:C,'[2]Final sheet'!$D$1:$D$65536,1,0)</f>
        <v>#N/A</v>
      </c>
      <c r="I42" t="e">
        <f>VLOOKUP(D:D,'[2]Final sheet'!$D$1:$D$65536,1,0)</f>
        <v>#N/A</v>
      </c>
    </row>
    <row r="43" spans="1:9" x14ac:dyDescent="0.25">
      <c r="A43" s="3">
        <v>702157</v>
      </c>
      <c r="B43" s="2" t="s">
        <v>59</v>
      </c>
      <c r="C43" s="3">
        <v>702162</v>
      </c>
      <c r="D43" s="2" t="s">
        <v>58</v>
      </c>
      <c r="E43" t="e">
        <f>VLOOKUP(A:A,[1]Sheet1!$A:$A,1,0)</f>
        <v>#N/A</v>
      </c>
      <c r="F43" s="5" t="e">
        <f>VLOOKUP(A:A,'[2]Final sheet'!$A$1:$A$65536,1,0)</f>
        <v>#N/A</v>
      </c>
      <c r="G43" t="e">
        <f>VLOOKUP(B:B,'[2]Final sheet'!$B$1:$B$65536,1,0)</f>
        <v>#N/A</v>
      </c>
      <c r="H43" t="e">
        <f>VLOOKUP(C:C,'[2]Final sheet'!$D$1:$D$65536,1,0)</f>
        <v>#N/A</v>
      </c>
      <c r="I43" t="e">
        <f>VLOOKUP(D:D,'[2]Final sheet'!$D$1:$D$65536,1,0)</f>
        <v>#N/A</v>
      </c>
    </row>
    <row r="44" spans="1:9" x14ac:dyDescent="0.25">
      <c r="A44" s="3">
        <v>702169</v>
      </c>
      <c r="B44" s="2" t="s">
        <v>60</v>
      </c>
      <c r="C44" s="3">
        <v>702172</v>
      </c>
      <c r="D44" s="2" t="s">
        <v>61</v>
      </c>
      <c r="E44">
        <f>VLOOKUP(A:A,[1]Sheet1!$A:$A,1,0)</f>
        <v>702169</v>
      </c>
      <c r="F44" s="5" t="e">
        <f>VLOOKUP(A:A,'[2]Final sheet'!$A$1:$A$65536,1,0)</f>
        <v>#N/A</v>
      </c>
      <c r="G44" t="e">
        <f>VLOOKUP(B:B,'[2]Final sheet'!$B$1:$B$65536,1,0)</f>
        <v>#N/A</v>
      </c>
      <c r="H44" t="e">
        <f>VLOOKUP(C:C,'[2]Final sheet'!$D$1:$D$65536,1,0)</f>
        <v>#N/A</v>
      </c>
      <c r="I44" t="e">
        <f>VLOOKUP(D:D,'[2]Final sheet'!$D$1:$D$65536,1,0)</f>
        <v>#N/A</v>
      </c>
    </row>
    <row r="45" spans="1:9" x14ac:dyDescent="0.25">
      <c r="A45" s="3">
        <v>702170</v>
      </c>
      <c r="B45" s="2" t="s">
        <v>62</v>
      </c>
      <c r="C45" s="3">
        <v>702173</v>
      </c>
      <c r="D45" s="2" t="s">
        <v>63</v>
      </c>
      <c r="E45">
        <f>VLOOKUP(A:A,[1]Sheet1!$A:$A,1,0)</f>
        <v>702170</v>
      </c>
      <c r="F45" s="5" t="e">
        <f>VLOOKUP(A:A,'[2]Final sheet'!$A$1:$A$65536,1,0)</f>
        <v>#N/A</v>
      </c>
      <c r="G45" t="e">
        <f>VLOOKUP(B:B,'[2]Final sheet'!$B$1:$B$65536,1,0)</f>
        <v>#N/A</v>
      </c>
      <c r="H45" t="e">
        <f>VLOOKUP(C:C,'[2]Final sheet'!$D$1:$D$65536,1,0)</f>
        <v>#N/A</v>
      </c>
      <c r="I45" t="e">
        <f>VLOOKUP(D:D,'[2]Final sheet'!$D$1:$D$65536,1,0)</f>
        <v>#N/A</v>
      </c>
    </row>
    <row r="46" spans="1:9" x14ac:dyDescent="0.25">
      <c r="A46" s="3">
        <v>702171</v>
      </c>
      <c r="B46" s="2" t="s">
        <v>64</v>
      </c>
      <c r="C46" s="3">
        <v>702174</v>
      </c>
      <c r="D46" s="2" t="s">
        <v>65</v>
      </c>
      <c r="E46">
        <f>VLOOKUP(A:A,[1]Sheet1!$A:$A,1,0)</f>
        <v>702171</v>
      </c>
      <c r="F46" s="5" t="e">
        <f>VLOOKUP(A:A,'[2]Final sheet'!$A$1:$A$65536,1,0)</f>
        <v>#N/A</v>
      </c>
      <c r="G46" t="e">
        <f>VLOOKUP(B:B,'[2]Final sheet'!$B$1:$B$65536,1,0)</f>
        <v>#N/A</v>
      </c>
      <c r="H46" t="e">
        <f>VLOOKUP(C:C,'[2]Final sheet'!$D$1:$D$65536,1,0)</f>
        <v>#N/A</v>
      </c>
      <c r="I46" t="e">
        <f>VLOOKUP(D:D,'[2]Final sheet'!$D$1:$D$65536,1,0)</f>
        <v>#N/A</v>
      </c>
    </row>
    <row r="47" spans="1:9" x14ac:dyDescent="0.25">
      <c r="A47" s="3">
        <v>702177</v>
      </c>
      <c r="B47" s="2" t="s">
        <v>66</v>
      </c>
      <c r="C47" s="3">
        <v>702178</v>
      </c>
      <c r="D47" s="2" t="s">
        <v>67</v>
      </c>
      <c r="E47">
        <f>VLOOKUP(A:A,[1]Sheet1!$A:$A,1,0)</f>
        <v>702177</v>
      </c>
      <c r="F47" s="5" t="e">
        <f>VLOOKUP(A:A,'[2]Final sheet'!$A$1:$A$65536,1,0)</f>
        <v>#N/A</v>
      </c>
      <c r="G47" t="e">
        <f>VLOOKUP(B:B,'[2]Final sheet'!$B$1:$B$65536,1,0)</f>
        <v>#N/A</v>
      </c>
      <c r="H47" t="e">
        <f>VLOOKUP(C:C,'[2]Final sheet'!$D$1:$D$65536,1,0)</f>
        <v>#N/A</v>
      </c>
      <c r="I47" t="e">
        <f>VLOOKUP(D:D,'[2]Final sheet'!$D$1:$D$65536,1,0)</f>
        <v>#N/A</v>
      </c>
    </row>
    <row r="48" spans="1:9" x14ac:dyDescent="0.25">
      <c r="A48" s="3">
        <v>702180</v>
      </c>
      <c r="B48" s="2" t="s">
        <v>68</v>
      </c>
      <c r="C48" s="3">
        <v>702181</v>
      </c>
      <c r="D48" s="2" t="s">
        <v>69</v>
      </c>
      <c r="E48">
        <f>VLOOKUP(A:A,[1]Sheet1!$A:$A,1,0)</f>
        <v>702180</v>
      </c>
      <c r="F48" s="5" t="e">
        <f>VLOOKUP(A:A,'[2]Final sheet'!$A$1:$A$65536,1,0)</f>
        <v>#N/A</v>
      </c>
      <c r="G48" t="e">
        <f>VLOOKUP(B:B,'[2]Final sheet'!$B$1:$B$65536,1,0)</f>
        <v>#N/A</v>
      </c>
      <c r="H48" t="e">
        <f>VLOOKUP(C:C,'[2]Final sheet'!$D$1:$D$65536,1,0)</f>
        <v>#N/A</v>
      </c>
      <c r="I48" t="e">
        <f>VLOOKUP(D:D,'[2]Final sheet'!$D$1:$D$65536,1,0)</f>
        <v>#N/A</v>
      </c>
    </row>
    <row r="49" spans="1:9" x14ac:dyDescent="0.25">
      <c r="A49" s="3">
        <v>702180</v>
      </c>
      <c r="B49" s="2" t="s">
        <v>68</v>
      </c>
      <c r="C49" s="3">
        <v>702182</v>
      </c>
      <c r="D49" s="2" t="s">
        <v>70</v>
      </c>
      <c r="E49">
        <f>VLOOKUP(A:A,[1]Sheet1!$A:$A,1,0)</f>
        <v>702180</v>
      </c>
      <c r="F49" s="5" t="e">
        <f>VLOOKUP(A:A,'[2]Final sheet'!$A$1:$A$65536,1,0)</f>
        <v>#N/A</v>
      </c>
      <c r="G49" t="e">
        <f>VLOOKUP(B:B,'[2]Final sheet'!$B$1:$B$65536,1,0)</f>
        <v>#N/A</v>
      </c>
      <c r="H49" t="e">
        <f>VLOOKUP(C:C,'[2]Final sheet'!$D$1:$D$65536,1,0)</f>
        <v>#N/A</v>
      </c>
      <c r="I49" t="e">
        <f>VLOOKUP(D:D,'[2]Final sheet'!$D$1:$D$65536,1,0)</f>
        <v>#N/A</v>
      </c>
    </row>
    <row r="50" spans="1:9" x14ac:dyDescent="0.25">
      <c r="A50" s="3">
        <v>702180</v>
      </c>
      <c r="B50" s="2" t="s">
        <v>68</v>
      </c>
      <c r="C50" s="3">
        <v>702183</v>
      </c>
      <c r="D50" s="2" t="s">
        <v>71</v>
      </c>
      <c r="E50">
        <f>VLOOKUP(A:A,[1]Sheet1!$A:$A,1,0)</f>
        <v>702180</v>
      </c>
      <c r="F50" s="5" t="e">
        <f>VLOOKUP(A:A,'[2]Final sheet'!$A$1:$A$65536,1,0)</f>
        <v>#N/A</v>
      </c>
      <c r="G50" t="e">
        <f>VLOOKUP(B:B,'[2]Final sheet'!$B$1:$B$65536,1,0)</f>
        <v>#N/A</v>
      </c>
      <c r="H50" t="e">
        <f>VLOOKUP(C:C,'[2]Final sheet'!$D$1:$D$65536,1,0)</f>
        <v>#N/A</v>
      </c>
      <c r="I50" t="e">
        <f>VLOOKUP(D:D,'[2]Final sheet'!$D$1:$D$65536,1,0)</f>
        <v>#N/A</v>
      </c>
    </row>
    <row r="51" spans="1:9" x14ac:dyDescent="0.25">
      <c r="A51" s="3">
        <v>702193</v>
      </c>
      <c r="B51" s="2" t="s">
        <v>72</v>
      </c>
      <c r="C51" s="3">
        <v>702198</v>
      </c>
      <c r="D51" s="2" t="s">
        <v>73</v>
      </c>
      <c r="E51" t="e">
        <f>VLOOKUP(A:A,[1]Sheet1!$A:$A,1,0)</f>
        <v>#N/A</v>
      </c>
      <c r="F51" s="5" t="e">
        <f>VLOOKUP(A:A,'[2]Final sheet'!$A$1:$A$65536,1,0)</f>
        <v>#N/A</v>
      </c>
      <c r="G51" t="e">
        <f>VLOOKUP(B:B,'[2]Final sheet'!$B$1:$B$65536,1,0)</f>
        <v>#N/A</v>
      </c>
      <c r="H51" t="e">
        <f>VLOOKUP(C:C,'[2]Final sheet'!$D$1:$D$65536,1,0)</f>
        <v>#N/A</v>
      </c>
      <c r="I51" t="e">
        <f>VLOOKUP(D:D,'[2]Final sheet'!$D$1:$D$65536,1,0)</f>
        <v>#N/A</v>
      </c>
    </row>
    <row r="52" spans="1:9" x14ac:dyDescent="0.25">
      <c r="A52" s="3">
        <v>702193</v>
      </c>
      <c r="B52" s="2" t="s">
        <v>72</v>
      </c>
      <c r="C52" s="3">
        <v>702199</v>
      </c>
      <c r="D52" s="2" t="s">
        <v>74</v>
      </c>
      <c r="E52" t="e">
        <f>VLOOKUP(A:A,[1]Sheet1!$A:$A,1,0)</f>
        <v>#N/A</v>
      </c>
      <c r="F52" s="5" t="e">
        <f>VLOOKUP(A:A,'[2]Final sheet'!$A$1:$A$65536,1,0)</f>
        <v>#N/A</v>
      </c>
      <c r="G52" t="e">
        <f>VLOOKUP(B:B,'[2]Final sheet'!$B$1:$B$65536,1,0)</f>
        <v>#N/A</v>
      </c>
      <c r="H52" t="e">
        <f>VLOOKUP(C:C,'[2]Final sheet'!$D$1:$D$65536,1,0)</f>
        <v>#N/A</v>
      </c>
      <c r="I52" t="e">
        <f>VLOOKUP(D:D,'[2]Final sheet'!$D$1:$D$65536,1,0)</f>
        <v>#N/A</v>
      </c>
    </row>
    <row r="53" spans="1:9" x14ac:dyDescent="0.25">
      <c r="A53" s="3">
        <v>702193</v>
      </c>
      <c r="B53" s="2" t="s">
        <v>72</v>
      </c>
      <c r="C53" s="3">
        <v>702200</v>
      </c>
      <c r="D53" s="2" t="s">
        <v>75</v>
      </c>
      <c r="E53" t="e">
        <f>VLOOKUP(A:A,[1]Sheet1!$A:$A,1,0)</f>
        <v>#N/A</v>
      </c>
      <c r="F53" s="5" t="e">
        <f>VLOOKUP(A:A,'[2]Final sheet'!$A$1:$A$65536,1,0)</f>
        <v>#N/A</v>
      </c>
      <c r="G53" t="e">
        <f>VLOOKUP(B:B,'[2]Final sheet'!$B$1:$B$65536,1,0)</f>
        <v>#N/A</v>
      </c>
      <c r="H53" t="e">
        <f>VLOOKUP(C:C,'[2]Final sheet'!$D$1:$D$65536,1,0)</f>
        <v>#N/A</v>
      </c>
      <c r="I53" t="e">
        <f>VLOOKUP(D:D,'[2]Final sheet'!$D$1:$D$65536,1,0)</f>
        <v>#N/A</v>
      </c>
    </row>
    <row r="54" spans="1:9" x14ac:dyDescent="0.25">
      <c r="A54" s="3">
        <v>702194</v>
      </c>
      <c r="B54" s="2" t="s">
        <v>76</v>
      </c>
      <c r="C54" s="3">
        <v>702201</v>
      </c>
      <c r="D54" s="2" t="s">
        <v>77</v>
      </c>
      <c r="E54" t="e">
        <f>VLOOKUP(A:A,[1]Sheet1!$A:$A,1,0)</f>
        <v>#N/A</v>
      </c>
      <c r="F54" s="5" t="e">
        <f>VLOOKUP(A:A,'[2]Final sheet'!$A$1:$A$65536,1,0)</f>
        <v>#N/A</v>
      </c>
      <c r="G54" t="e">
        <f>VLOOKUP(B:B,'[2]Final sheet'!$B$1:$B$65536,1,0)</f>
        <v>#N/A</v>
      </c>
      <c r="H54" t="e">
        <f>VLOOKUP(C:C,'[2]Final sheet'!$D$1:$D$65536,1,0)</f>
        <v>#N/A</v>
      </c>
      <c r="I54" t="e">
        <f>VLOOKUP(D:D,'[2]Final sheet'!$D$1:$D$65536,1,0)</f>
        <v>#N/A</v>
      </c>
    </row>
    <row r="55" spans="1:9" x14ac:dyDescent="0.25">
      <c r="A55" s="3">
        <v>702194</v>
      </c>
      <c r="B55" s="2" t="s">
        <v>76</v>
      </c>
      <c r="C55" s="3">
        <v>702202</v>
      </c>
      <c r="D55" s="2" t="s">
        <v>78</v>
      </c>
      <c r="E55" t="e">
        <f>VLOOKUP(A:A,[1]Sheet1!$A:$A,1,0)</f>
        <v>#N/A</v>
      </c>
      <c r="F55" s="5" t="e">
        <f>VLOOKUP(A:A,'[2]Final sheet'!$A$1:$A$65536,1,0)</f>
        <v>#N/A</v>
      </c>
      <c r="G55" t="e">
        <f>VLOOKUP(B:B,'[2]Final sheet'!$B$1:$B$65536,1,0)</f>
        <v>#N/A</v>
      </c>
      <c r="H55" t="e">
        <f>VLOOKUP(C:C,'[2]Final sheet'!$D$1:$D$65536,1,0)</f>
        <v>#N/A</v>
      </c>
      <c r="I55" t="e">
        <f>VLOOKUP(D:D,'[2]Final sheet'!$D$1:$D$65536,1,0)</f>
        <v>#N/A</v>
      </c>
    </row>
    <row r="56" spans="1:9" x14ac:dyDescent="0.25">
      <c r="A56" s="3">
        <v>702197</v>
      </c>
      <c r="B56" s="2" t="s">
        <v>79</v>
      </c>
      <c r="C56" s="3">
        <v>702203</v>
      </c>
      <c r="D56" s="2" t="s">
        <v>80</v>
      </c>
      <c r="E56" t="e">
        <f>VLOOKUP(A:A,[1]Sheet1!$A:$A,1,0)</f>
        <v>#N/A</v>
      </c>
      <c r="F56" s="5" t="e">
        <f>VLOOKUP(A:A,'[2]Final sheet'!$A$1:$A$65536,1,0)</f>
        <v>#N/A</v>
      </c>
      <c r="G56" t="e">
        <f>VLOOKUP(B:B,'[2]Final sheet'!$B$1:$B$65536,1,0)</f>
        <v>#N/A</v>
      </c>
      <c r="H56" t="e">
        <f>VLOOKUP(C:C,'[2]Final sheet'!$D$1:$D$65536,1,0)</f>
        <v>#N/A</v>
      </c>
      <c r="I56" t="e">
        <f>VLOOKUP(D:D,'[2]Final sheet'!$D$1:$D$65536,1,0)</f>
        <v>#N/A</v>
      </c>
    </row>
    <row r="57" spans="1:9" x14ac:dyDescent="0.25">
      <c r="A57" s="3">
        <v>702197</v>
      </c>
      <c r="B57" s="2" t="s">
        <v>79</v>
      </c>
      <c r="C57" s="3">
        <v>702204</v>
      </c>
      <c r="D57" s="2" t="s">
        <v>81</v>
      </c>
      <c r="E57" t="e">
        <f>VLOOKUP(A:A,[1]Sheet1!$A:$A,1,0)</f>
        <v>#N/A</v>
      </c>
      <c r="F57" s="5" t="e">
        <f>VLOOKUP(A:A,'[2]Final sheet'!$A$1:$A$65536,1,0)</f>
        <v>#N/A</v>
      </c>
      <c r="G57" t="e">
        <f>VLOOKUP(B:B,'[2]Final sheet'!$B$1:$B$65536,1,0)</f>
        <v>#N/A</v>
      </c>
      <c r="H57" t="e">
        <f>VLOOKUP(C:C,'[2]Final sheet'!$D$1:$D$65536,1,0)</f>
        <v>#N/A</v>
      </c>
      <c r="I57" t="e">
        <f>VLOOKUP(D:D,'[2]Final sheet'!$D$1:$D$65536,1,0)</f>
        <v>#N/A</v>
      </c>
    </row>
    <row r="58" spans="1:9" x14ac:dyDescent="0.25">
      <c r="A58" s="3">
        <v>702208</v>
      </c>
      <c r="B58" s="2" t="s">
        <v>82</v>
      </c>
      <c r="C58" s="3">
        <v>702210</v>
      </c>
      <c r="D58" s="2" t="s">
        <v>83</v>
      </c>
      <c r="E58">
        <f>VLOOKUP(A:A,[1]Sheet1!$A:$A,1,0)</f>
        <v>702208</v>
      </c>
      <c r="F58" s="5" t="e">
        <f>VLOOKUP(A:A,'[2]Final sheet'!$A$1:$A$65536,1,0)</f>
        <v>#N/A</v>
      </c>
      <c r="G58" t="e">
        <f>VLOOKUP(B:B,'[2]Final sheet'!$B$1:$B$65536,1,0)</f>
        <v>#N/A</v>
      </c>
      <c r="H58" t="e">
        <f>VLOOKUP(C:C,'[2]Final sheet'!$D$1:$D$65536,1,0)</f>
        <v>#N/A</v>
      </c>
      <c r="I58" t="e">
        <f>VLOOKUP(D:D,'[2]Final sheet'!$D$1:$D$65536,1,0)</f>
        <v>#N/A</v>
      </c>
    </row>
    <row r="59" spans="1:9" x14ac:dyDescent="0.25">
      <c r="A59" s="3">
        <v>702208</v>
      </c>
      <c r="B59" s="2" t="s">
        <v>82</v>
      </c>
      <c r="C59" s="3">
        <v>702211</v>
      </c>
      <c r="D59" s="2" t="s">
        <v>84</v>
      </c>
      <c r="E59">
        <f>VLOOKUP(A:A,[1]Sheet1!$A:$A,1,0)</f>
        <v>702208</v>
      </c>
      <c r="F59" s="5" t="e">
        <f>VLOOKUP(A:A,'[2]Final sheet'!$A$1:$A$65536,1,0)</f>
        <v>#N/A</v>
      </c>
      <c r="G59" t="e">
        <f>VLOOKUP(B:B,'[2]Final sheet'!$B$1:$B$65536,1,0)</f>
        <v>#N/A</v>
      </c>
      <c r="H59" t="e">
        <f>VLOOKUP(C:C,'[2]Final sheet'!$D$1:$D$65536,1,0)</f>
        <v>#N/A</v>
      </c>
      <c r="I59" t="e">
        <f>VLOOKUP(D:D,'[2]Final sheet'!$D$1:$D$65536,1,0)</f>
        <v>#N/A</v>
      </c>
    </row>
    <row r="60" spans="1:9" x14ac:dyDescent="0.25">
      <c r="A60" s="3">
        <v>702218</v>
      </c>
      <c r="B60" s="2" t="s">
        <v>85</v>
      </c>
      <c r="C60" s="3">
        <v>702219</v>
      </c>
      <c r="D60" s="2" t="s">
        <v>86</v>
      </c>
      <c r="E60">
        <f>VLOOKUP(A:A,[1]Sheet1!$A:$A,1,0)</f>
        <v>702218</v>
      </c>
      <c r="F60" s="5" t="e">
        <f>VLOOKUP(A:A,'[2]Final sheet'!$A$1:$A$65536,1,0)</f>
        <v>#N/A</v>
      </c>
      <c r="G60" t="e">
        <f>VLOOKUP(B:B,'[2]Final sheet'!$B$1:$B$65536,1,0)</f>
        <v>#N/A</v>
      </c>
      <c r="H60" t="e">
        <f>VLOOKUP(C:C,'[2]Final sheet'!$D$1:$D$65536,1,0)</f>
        <v>#N/A</v>
      </c>
      <c r="I60" t="e">
        <f>VLOOKUP(D:D,'[2]Final sheet'!$D$1:$D$65536,1,0)</f>
        <v>#N/A</v>
      </c>
    </row>
    <row r="61" spans="1:9" x14ac:dyDescent="0.25">
      <c r="A61" s="3">
        <v>702220</v>
      </c>
      <c r="B61" s="2" t="s">
        <v>87</v>
      </c>
      <c r="C61" s="3">
        <v>702221</v>
      </c>
      <c r="D61" s="2" t="s">
        <v>88</v>
      </c>
      <c r="E61" t="e">
        <f>VLOOKUP(A:A,[1]Sheet1!$A:$A,1,0)</f>
        <v>#N/A</v>
      </c>
      <c r="F61" s="5" t="e">
        <f>VLOOKUP(A:A,'[2]Final sheet'!$A$1:$A$65536,1,0)</f>
        <v>#N/A</v>
      </c>
      <c r="G61" t="e">
        <f>VLOOKUP(B:B,'[2]Final sheet'!$B$1:$B$65536,1,0)</f>
        <v>#N/A</v>
      </c>
      <c r="H61" t="e">
        <f>VLOOKUP(C:C,'[2]Final sheet'!$D$1:$D$65536,1,0)</f>
        <v>#N/A</v>
      </c>
      <c r="I61" t="e">
        <f>VLOOKUP(D:D,'[2]Final sheet'!$D$1:$D$65536,1,0)</f>
        <v>#N/A</v>
      </c>
    </row>
    <row r="62" spans="1:9" x14ac:dyDescent="0.25">
      <c r="A62" s="3">
        <v>702220</v>
      </c>
      <c r="B62" s="2" t="s">
        <v>87</v>
      </c>
      <c r="C62" s="3">
        <v>702222</v>
      </c>
      <c r="D62" s="2" t="s">
        <v>89</v>
      </c>
      <c r="E62" t="e">
        <f>VLOOKUP(A:A,[1]Sheet1!$A:$A,1,0)</f>
        <v>#N/A</v>
      </c>
      <c r="F62" s="5" t="e">
        <f>VLOOKUP(A:A,'[2]Final sheet'!$A$1:$A$65536,1,0)</f>
        <v>#N/A</v>
      </c>
      <c r="G62" t="e">
        <f>VLOOKUP(B:B,'[2]Final sheet'!$B$1:$B$65536,1,0)</f>
        <v>#N/A</v>
      </c>
      <c r="H62" t="e">
        <f>VLOOKUP(C:C,'[2]Final sheet'!$D$1:$D$65536,1,0)</f>
        <v>#N/A</v>
      </c>
      <c r="I62" t="e">
        <f>VLOOKUP(D:D,'[2]Final sheet'!$D$1:$D$65536,1,0)</f>
        <v>#N/A</v>
      </c>
    </row>
    <row r="63" spans="1:9" x14ac:dyDescent="0.25">
      <c r="A63" s="3">
        <v>1000013</v>
      </c>
      <c r="B63" s="2" t="s">
        <v>90</v>
      </c>
      <c r="C63" s="3">
        <v>1000014</v>
      </c>
      <c r="D63" s="2" t="s">
        <v>91</v>
      </c>
      <c r="E63" t="e">
        <f>VLOOKUP(A:A,[1]Sheet1!$A:$A,1,0)</f>
        <v>#N/A</v>
      </c>
      <c r="F63" s="5" t="e">
        <f>VLOOKUP(A:A,'[2]Final sheet'!$A$1:$A$65536,1,0)</f>
        <v>#N/A</v>
      </c>
      <c r="G63" t="e">
        <f>VLOOKUP(B:B,'[2]Final sheet'!$B$1:$B$65536,1,0)</f>
        <v>#N/A</v>
      </c>
      <c r="H63" t="e">
        <f>VLOOKUP(C:C,'[2]Final sheet'!$D$1:$D$65536,1,0)</f>
        <v>#N/A</v>
      </c>
      <c r="I63" t="e">
        <f>VLOOKUP(D:D,'[2]Final sheet'!$D$1:$D$65536,1,0)</f>
        <v>#N/A</v>
      </c>
    </row>
    <row r="64" spans="1:9" x14ac:dyDescent="0.25">
      <c r="A64" s="3">
        <v>1000023</v>
      </c>
      <c r="B64" s="2" t="s">
        <v>92</v>
      </c>
      <c r="C64" s="3">
        <v>1000024</v>
      </c>
      <c r="D64" s="2" t="s">
        <v>93</v>
      </c>
      <c r="E64">
        <f>VLOOKUP(A:A,[1]Sheet1!$A:$A,1,0)</f>
        <v>1000023</v>
      </c>
      <c r="F64" s="5" t="e">
        <f>VLOOKUP(A:A,'[2]Final sheet'!$A$1:$A$65536,1,0)</f>
        <v>#N/A</v>
      </c>
      <c r="G64" t="e">
        <f>VLOOKUP(B:B,'[2]Final sheet'!$B$1:$B$65536,1,0)</f>
        <v>#N/A</v>
      </c>
      <c r="H64" t="e">
        <f>VLOOKUP(C:C,'[2]Final sheet'!$D$1:$D$65536,1,0)</f>
        <v>#N/A</v>
      </c>
      <c r="I64" t="e">
        <f>VLOOKUP(D:D,'[2]Final sheet'!$D$1:$D$65536,1,0)</f>
        <v>#N/A</v>
      </c>
    </row>
    <row r="65" spans="1:9" x14ac:dyDescent="0.25">
      <c r="A65" s="3">
        <v>702209</v>
      </c>
      <c r="B65" s="2" t="s">
        <v>94</v>
      </c>
      <c r="C65" s="3">
        <v>702212</v>
      </c>
      <c r="D65" s="2" t="s">
        <v>95</v>
      </c>
      <c r="E65">
        <f>VLOOKUP(A:A,[1]Sheet1!$A:$A,1,0)</f>
        <v>702209</v>
      </c>
      <c r="F65" s="5" t="e">
        <f>VLOOKUP(A:A,'[2]Final sheet'!$A$1:$A$65536,1,0)</f>
        <v>#N/A</v>
      </c>
      <c r="G65" t="e">
        <f>VLOOKUP(B:B,'[2]Final sheet'!$B$1:$B$65536,1,0)</f>
        <v>#N/A</v>
      </c>
      <c r="H65" t="e">
        <f>VLOOKUP(C:C,'[2]Final sheet'!$D$1:$D$65536,1,0)</f>
        <v>#N/A</v>
      </c>
      <c r="I65" t="e">
        <f>VLOOKUP(D:D,'[2]Final sheet'!$D$1:$D$65536,1,0)</f>
        <v>#N/A</v>
      </c>
    </row>
    <row r="66" spans="1:9" x14ac:dyDescent="0.25">
      <c r="A66" s="3">
        <v>701976</v>
      </c>
      <c r="B66" s="2" t="s">
        <v>96</v>
      </c>
      <c r="C66" s="3">
        <v>701977</v>
      </c>
      <c r="D66" s="2" t="s">
        <v>97</v>
      </c>
      <c r="E66" t="e">
        <f>VLOOKUP(A:A,[1]Sheet1!$A:$A,1,0)</f>
        <v>#N/A</v>
      </c>
      <c r="F66" s="5" t="e">
        <f>VLOOKUP(A:A,'[2]Final sheet'!$A$1:$A$65536,1,0)</f>
        <v>#N/A</v>
      </c>
      <c r="G66" t="e">
        <f>VLOOKUP(B:B,'[2]Final sheet'!$B$1:$B$65536,1,0)</f>
        <v>#N/A</v>
      </c>
      <c r="H66" t="e">
        <f>VLOOKUP(C:C,'[2]Final sheet'!$D$1:$D$65536,1,0)</f>
        <v>#N/A</v>
      </c>
      <c r="I66" t="e">
        <f>VLOOKUP(D:D,'[2]Final sheet'!$D$1:$D$65536,1,0)</f>
        <v>#N/A</v>
      </c>
    </row>
    <row r="67" spans="1:9" x14ac:dyDescent="0.25">
      <c r="A67" s="3">
        <v>701976</v>
      </c>
      <c r="B67" s="2" t="s">
        <v>96</v>
      </c>
      <c r="C67" s="3">
        <v>701978</v>
      </c>
      <c r="D67" s="2" t="s">
        <v>98</v>
      </c>
      <c r="E67" t="e">
        <f>VLOOKUP(A:A,[1]Sheet1!$A:$A,1,0)</f>
        <v>#N/A</v>
      </c>
      <c r="F67" s="5" t="e">
        <f>VLOOKUP(A:A,'[2]Final sheet'!$A$1:$A$65536,1,0)</f>
        <v>#N/A</v>
      </c>
      <c r="G67" t="e">
        <f>VLOOKUP(B:B,'[2]Final sheet'!$B$1:$B$65536,1,0)</f>
        <v>#N/A</v>
      </c>
      <c r="H67" t="e">
        <f>VLOOKUP(C:C,'[2]Final sheet'!$D$1:$D$65536,1,0)</f>
        <v>#N/A</v>
      </c>
      <c r="I67" t="e">
        <f>VLOOKUP(D:D,'[2]Final sheet'!$D$1:$D$65536,1,0)</f>
        <v>#N/A</v>
      </c>
    </row>
    <row r="68" spans="1:9" x14ac:dyDescent="0.25">
      <c r="A68" s="3">
        <v>701976</v>
      </c>
      <c r="B68" s="2" t="s">
        <v>96</v>
      </c>
      <c r="C68" s="3">
        <v>701979</v>
      </c>
      <c r="D68" s="2" t="s">
        <v>99</v>
      </c>
      <c r="E68" t="e">
        <f>VLOOKUP(A:A,[1]Sheet1!$A:$A,1,0)</f>
        <v>#N/A</v>
      </c>
      <c r="F68" s="5" t="e">
        <f>VLOOKUP(A:A,'[2]Final sheet'!$A$1:$A$65536,1,0)</f>
        <v>#N/A</v>
      </c>
      <c r="G68" t="e">
        <f>VLOOKUP(B:B,'[2]Final sheet'!$B$1:$B$65536,1,0)</f>
        <v>#N/A</v>
      </c>
      <c r="H68" t="e">
        <f>VLOOKUP(C:C,'[2]Final sheet'!$D$1:$D$65536,1,0)</f>
        <v>#N/A</v>
      </c>
      <c r="I68" t="e">
        <f>VLOOKUP(D:D,'[2]Final sheet'!$D$1:$D$65536,1,0)</f>
        <v>#N/A</v>
      </c>
    </row>
    <row r="69" spans="1:9" x14ac:dyDescent="0.25">
      <c r="A69" s="3">
        <v>702209</v>
      </c>
      <c r="B69" s="2" t="s">
        <v>94</v>
      </c>
      <c r="C69" s="3">
        <v>702213</v>
      </c>
      <c r="D69" s="2" t="s">
        <v>100</v>
      </c>
      <c r="E69">
        <f>VLOOKUP(A:A,[1]Sheet1!$A:$A,1,0)</f>
        <v>702209</v>
      </c>
      <c r="F69" s="5" t="e">
        <f>VLOOKUP(A:A,'[2]Final sheet'!$A$1:$A$65536,1,0)</f>
        <v>#N/A</v>
      </c>
      <c r="G69" t="e">
        <f>VLOOKUP(B:B,'[2]Final sheet'!$B$1:$B$65536,1,0)</f>
        <v>#N/A</v>
      </c>
      <c r="H69" t="e">
        <f>VLOOKUP(C:C,'[2]Final sheet'!$D$1:$D$65536,1,0)</f>
        <v>#N/A</v>
      </c>
      <c r="I69" t="e">
        <f>VLOOKUP(D:D,'[2]Final sheet'!$D$1:$D$65536,1,0)</f>
        <v>#N/A</v>
      </c>
    </row>
    <row r="70" spans="1:9" x14ac:dyDescent="0.25">
      <c r="A70" s="3">
        <v>702230</v>
      </c>
      <c r="B70" s="2" t="s">
        <v>101</v>
      </c>
      <c r="C70" s="3">
        <v>702231</v>
      </c>
      <c r="D70" s="2" t="s">
        <v>102</v>
      </c>
      <c r="E70">
        <f>VLOOKUP(A:A,[1]Sheet1!$A:$A,1,0)</f>
        <v>702230</v>
      </c>
      <c r="F70" s="5" t="e">
        <f>VLOOKUP(A:A,'[2]Final sheet'!$A$1:$A$65536,1,0)</f>
        <v>#N/A</v>
      </c>
      <c r="G70" t="e">
        <f>VLOOKUP(B:B,'[2]Final sheet'!$B$1:$B$65536,1,0)</f>
        <v>#N/A</v>
      </c>
      <c r="H70" t="e">
        <f>VLOOKUP(C:C,'[2]Final sheet'!$D$1:$D$65536,1,0)</f>
        <v>#N/A</v>
      </c>
      <c r="I70" t="e">
        <f>VLOOKUP(D:D,'[2]Final sheet'!$D$1:$D$65536,1,0)</f>
        <v>#N/A</v>
      </c>
    </row>
    <row r="71" spans="1:9" x14ac:dyDescent="0.25">
      <c r="A71" s="3">
        <v>702013</v>
      </c>
      <c r="B71" s="2" t="s">
        <v>103</v>
      </c>
      <c r="C71" s="3">
        <v>702015</v>
      </c>
      <c r="D71" s="2" t="s">
        <v>104</v>
      </c>
      <c r="E71">
        <f>VLOOKUP(A:A,[1]Sheet1!$A:$A,1,0)</f>
        <v>702013</v>
      </c>
      <c r="F71" s="5" t="e">
        <f>VLOOKUP(A:A,'[2]Final sheet'!$A$1:$A$65536,1,0)</f>
        <v>#N/A</v>
      </c>
      <c r="G71" t="e">
        <f>VLOOKUP(B:B,'[2]Final sheet'!$B$1:$B$65536,1,0)</f>
        <v>#N/A</v>
      </c>
      <c r="H71" t="e">
        <f>VLOOKUP(C:C,'[2]Final sheet'!$D$1:$D$65536,1,0)</f>
        <v>#N/A</v>
      </c>
      <c r="I71" t="e">
        <f>VLOOKUP(D:D,'[2]Final sheet'!$D$1:$D$65536,1,0)</f>
        <v>#N/A</v>
      </c>
    </row>
    <row r="72" spans="1:9" x14ac:dyDescent="0.25">
      <c r="A72" s="3">
        <v>702013</v>
      </c>
      <c r="B72" s="2" t="s">
        <v>103</v>
      </c>
      <c r="C72" s="3">
        <v>702016</v>
      </c>
      <c r="D72" s="2" t="s">
        <v>105</v>
      </c>
      <c r="E72">
        <f>VLOOKUP(A:A,[1]Sheet1!$A:$A,1,0)</f>
        <v>702013</v>
      </c>
      <c r="F72" s="5" t="e">
        <f>VLOOKUP(A:A,'[2]Final sheet'!$A$1:$A$65536,1,0)</f>
        <v>#N/A</v>
      </c>
      <c r="G72" t="e">
        <f>VLOOKUP(B:B,'[2]Final sheet'!$B$1:$B$65536,1,0)</f>
        <v>#N/A</v>
      </c>
      <c r="H72" t="e">
        <f>VLOOKUP(C:C,'[2]Final sheet'!$D$1:$D$65536,1,0)</f>
        <v>#N/A</v>
      </c>
      <c r="I72" t="e">
        <f>VLOOKUP(D:D,'[2]Final sheet'!$D$1:$D$65536,1,0)</f>
        <v>#N/A</v>
      </c>
    </row>
    <row r="73" spans="1:9" x14ac:dyDescent="0.25">
      <c r="A73" s="3">
        <v>702014</v>
      </c>
      <c r="B73" s="2" t="s">
        <v>106</v>
      </c>
      <c r="C73" s="3">
        <v>702017</v>
      </c>
      <c r="D73" s="2" t="s">
        <v>107</v>
      </c>
      <c r="E73">
        <f>VLOOKUP(A:A,[1]Sheet1!$A:$A,1,0)</f>
        <v>702014</v>
      </c>
      <c r="F73" s="5" t="e">
        <f>VLOOKUP(A:A,'[2]Final sheet'!$A$1:$A$65536,1,0)</f>
        <v>#N/A</v>
      </c>
      <c r="G73" t="e">
        <f>VLOOKUP(B:B,'[2]Final sheet'!$B$1:$B$65536,1,0)</f>
        <v>#N/A</v>
      </c>
      <c r="H73" t="e">
        <f>VLOOKUP(C:C,'[2]Final sheet'!$D$1:$D$65536,1,0)</f>
        <v>#N/A</v>
      </c>
      <c r="I73" t="e">
        <f>VLOOKUP(D:D,'[2]Final sheet'!$D$1:$D$65536,1,0)</f>
        <v>#N/A</v>
      </c>
    </row>
    <row r="74" spans="1:9" x14ac:dyDescent="0.25">
      <c r="A74" s="3">
        <v>702014</v>
      </c>
      <c r="B74" s="2" t="s">
        <v>106</v>
      </c>
      <c r="C74" s="3">
        <v>702018</v>
      </c>
      <c r="D74" s="2" t="s">
        <v>108</v>
      </c>
      <c r="E74">
        <f>VLOOKUP(A:A,[1]Sheet1!$A:$A,1,0)</f>
        <v>702014</v>
      </c>
      <c r="F74" s="5" t="e">
        <f>VLOOKUP(A:A,'[2]Final sheet'!$A$1:$A$65536,1,0)</f>
        <v>#N/A</v>
      </c>
      <c r="G74" t="e">
        <f>VLOOKUP(B:B,'[2]Final sheet'!$B$1:$B$65536,1,0)</f>
        <v>#N/A</v>
      </c>
      <c r="H74" t="e">
        <f>VLOOKUP(C:C,'[2]Final sheet'!$D$1:$D$65536,1,0)</f>
        <v>#N/A</v>
      </c>
      <c r="I74" t="e">
        <f>VLOOKUP(D:D,'[2]Final sheet'!$D$1:$D$65536,1,0)</f>
        <v>#N/A</v>
      </c>
    </row>
    <row r="75" spans="1:9" x14ac:dyDescent="0.25">
      <c r="A75" s="3">
        <v>702045</v>
      </c>
      <c r="B75" s="2" t="s">
        <v>38</v>
      </c>
      <c r="C75" s="3">
        <v>702052</v>
      </c>
      <c r="D75" s="2" t="s">
        <v>109</v>
      </c>
      <c r="E75" t="e">
        <f>VLOOKUP(A:A,[1]Sheet1!$A:$A,1,0)</f>
        <v>#N/A</v>
      </c>
      <c r="F75" s="5" t="e">
        <f>VLOOKUP(A:A,'[2]Final sheet'!$A$1:$A$65536,1,0)</f>
        <v>#N/A</v>
      </c>
      <c r="G75" t="e">
        <f>VLOOKUP(B:B,'[2]Final sheet'!$B$1:$B$65536,1,0)</f>
        <v>#N/A</v>
      </c>
      <c r="H75" t="e">
        <f>VLOOKUP(C:C,'[2]Final sheet'!$D$1:$D$65536,1,0)</f>
        <v>#N/A</v>
      </c>
      <c r="I75" t="e">
        <f>VLOOKUP(D:D,'[2]Final sheet'!$D$1:$D$65536,1,0)</f>
        <v>#N/A</v>
      </c>
    </row>
    <row r="76" spans="1:9" x14ac:dyDescent="0.25">
      <c r="A76" s="3">
        <v>702041</v>
      </c>
      <c r="B76" s="2" t="s">
        <v>110</v>
      </c>
      <c r="C76" s="3">
        <v>702049</v>
      </c>
      <c r="D76" s="2" t="s">
        <v>111</v>
      </c>
      <c r="E76" t="e">
        <f>VLOOKUP(A:A,[1]Sheet1!$A:$A,1,0)</f>
        <v>#N/A</v>
      </c>
      <c r="F76" s="5" t="e">
        <f>VLOOKUP(A:A,'[2]Final sheet'!$A$1:$A$65536,1,0)</f>
        <v>#N/A</v>
      </c>
      <c r="G76" t="e">
        <f>VLOOKUP(B:B,'[2]Final sheet'!$B$1:$B$65536,1,0)</f>
        <v>#N/A</v>
      </c>
      <c r="H76" t="e">
        <f>VLOOKUP(C:C,'[2]Final sheet'!$D$1:$D$65536,1,0)</f>
        <v>#N/A</v>
      </c>
      <c r="I76" t="e">
        <f>VLOOKUP(D:D,'[2]Final sheet'!$D$1:$D$65536,1,0)</f>
        <v>#N/A</v>
      </c>
    </row>
    <row r="77" spans="1:9" x14ac:dyDescent="0.25">
      <c r="A77" s="3">
        <v>702041</v>
      </c>
      <c r="B77" s="2" t="s">
        <v>110</v>
      </c>
      <c r="C77" s="3">
        <v>702050</v>
      </c>
      <c r="D77" s="2" t="s">
        <v>112</v>
      </c>
      <c r="E77" t="e">
        <f>VLOOKUP(A:A,[1]Sheet1!$A:$A,1,0)</f>
        <v>#N/A</v>
      </c>
      <c r="F77" s="5" t="e">
        <f>VLOOKUP(A:A,'[2]Final sheet'!$A$1:$A$65536,1,0)</f>
        <v>#N/A</v>
      </c>
      <c r="G77" t="e">
        <f>VLOOKUP(B:B,'[2]Final sheet'!$B$1:$B$65536,1,0)</f>
        <v>#N/A</v>
      </c>
      <c r="H77" t="e">
        <f>VLOOKUP(C:C,'[2]Final sheet'!$D$1:$D$65536,1,0)</f>
        <v>#N/A</v>
      </c>
      <c r="I77" t="e">
        <f>VLOOKUP(D:D,'[2]Final sheet'!$D$1:$D$65536,1,0)</f>
        <v>#N/A</v>
      </c>
    </row>
    <row r="78" spans="1:9" x14ac:dyDescent="0.25">
      <c r="A78" s="3">
        <v>702045</v>
      </c>
      <c r="B78" s="2" t="s">
        <v>38</v>
      </c>
      <c r="C78" s="3">
        <v>702051</v>
      </c>
      <c r="D78" s="2" t="s">
        <v>113</v>
      </c>
      <c r="E78" t="e">
        <f>VLOOKUP(A:A,[1]Sheet1!$A:$A,1,0)</f>
        <v>#N/A</v>
      </c>
      <c r="F78" s="5" t="e">
        <f>VLOOKUP(A:A,'[2]Final sheet'!$A$1:$A$65536,1,0)</f>
        <v>#N/A</v>
      </c>
      <c r="G78" t="e">
        <f>VLOOKUP(B:B,'[2]Final sheet'!$B$1:$B$65536,1,0)</f>
        <v>#N/A</v>
      </c>
      <c r="H78" t="e">
        <f>VLOOKUP(C:C,'[2]Final sheet'!$D$1:$D$65536,1,0)</f>
        <v>#N/A</v>
      </c>
      <c r="I78" t="e">
        <f>VLOOKUP(D:D,'[2]Final sheet'!$D$1:$D$65536,1,0)</f>
        <v>#N/A</v>
      </c>
    </row>
    <row r="79" spans="1:9" x14ac:dyDescent="0.25">
      <c r="A79" s="3">
        <v>702045</v>
      </c>
      <c r="B79" s="2" t="s">
        <v>38</v>
      </c>
      <c r="C79" s="3">
        <v>702053</v>
      </c>
      <c r="D79" s="2" t="s">
        <v>114</v>
      </c>
      <c r="E79" t="e">
        <f>VLOOKUP(A:A,[1]Sheet1!$A:$A,1,0)</f>
        <v>#N/A</v>
      </c>
      <c r="F79" s="5" t="e">
        <f>VLOOKUP(A:A,'[2]Final sheet'!$A$1:$A$65536,1,0)</f>
        <v>#N/A</v>
      </c>
      <c r="G79" t="e">
        <f>VLOOKUP(B:B,'[2]Final sheet'!$B$1:$B$65536,1,0)</f>
        <v>#N/A</v>
      </c>
      <c r="H79" t="e">
        <f>VLOOKUP(C:C,'[2]Final sheet'!$D$1:$D$65536,1,0)</f>
        <v>#N/A</v>
      </c>
      <c r="I79" t="e">
        <f>VLOOKUP(D:D,'[2]Final sheet'!$D$1:$D$65536,1,0)</f>
        <v>#N/A</v>
      </c>
    </row>
    <row r="80" spans="1:9" x14ac:dyDescent="0.25">
      <c r="A80" s="3">
        <v>500531</v>
      </c>
      <c r="B80" s="2" t="s">
        <v>12</v>
      </c>
      <c r="C80" s="3">
        <v>1000299</v>
      </c>
      <c r="D80" s="2" t="s">
        <v>115</v>
      </c>
      <c r="E80">
        <f>VLOOKUP(A:A,[1]Sheet1!$A:$A,1,0)</f>
        <v>500531</v>
      </c>
      <c r="F80" s="5">
        <f>VLOOKUP(A:A,'[2]Final sheet'!$A$1:$A$65536,1,0)</f>
        <v>500531</v>
      </c>
      <c r="G80" t="str">
        <f>VLOOKUP(B:B,'[2]Final sheet'!$B$1:$B$65536,1,0)</f>
        <v>Assistant Surgeon Charges</v>
      </c>
      <c r="H80" t="e">
        <f>VLOOKUP(C:C,'[2]Final sheet'!$D$1:$D$65536,1,0)</f>
        <v>#N/A</v>
      </c>
      <c r="I80" t="e">
        <f>VLOOKUP(D:D,'[2]Final sheet'!$D$1:$D$65536,1,0)</f>
        <v>#N/A</v>
      </c>
    </row>
    <row r="81" spans="1:9" x14ac:dyDescent="0.25">
      <c r="A81" s="3">
        <v>500531</v>
      </c>
      <c r="B81" s="2" t="s">
        <v>12</v>
      </c>
      <c r="C81" s="3">
        <v>1000300</v>
      </c>
      <c r="D81" s="2" t="s">
        <v>116</v>
      </c>
      <c r="E81">
        <f>VLOOKUP(A:A,[1]Sheet1!$A:$A,1,0)</f>
        <v>500531</v>
      </c>
      <c r="F81" s="5">
        <f>VLOOKUP(A:A,'[2]Final sheet'!$A$1:$A$65536,1,0)</f>
        <v>500531</v>
      </c>
      <c r="G81" t="str">
        <f>VLOOKUP(B:B,'[2]Final sheet'!$B$1:$B$65536,1,0)</f>
        <v>Assistant Surgeon Charges</v>
      </c>
      <c r="H81" t="e">
        <f>VLOOKUP(C:C,'[2]Final sheet'!$D$1:$D$65536,1,0)</f>
        <v>#N/A</v>
      </c>
      <c r="I81" t="e">
        <f>VLOOKUP(D:D,'[2]Final sheet'!$D$1:$D$65536,1,0)</f>
        <v>#N/A</v>
      </c>
    </row>
    <row r="82" spans="1:9" x14ac:dyDescent="0.25">
      <c r="A82" s="3">
        <v>1000347</v>
      </c>
      <c r="B82" s="2" t="s">
        <v>117</v>
      </c>
      <c r="C82" s="3">
        <v>1000358</v>
      </c>
      <c r="D82" s="2" t="s">
        <v>118</v>
      </c>
      <c r="E82">
        <f>VLOOKUP(A:A,[1]Sheet1!$A:$A,1,0)</f>
        <v>1000347</v>
      </c>
      <c r="F82" s="5" t="e">
        <f>VLOOKUP(A:A,'[2]Final sheet'!$A$1:$A$65536,1,0)</f>
        <v>#N/A</v>
      </c>
      <c r="G82" t="e">
        <f>VLOOKUP(B:B,'[2]Final sheet'!$B$1:$B$65536,1,0)</f>
        <v>#N/A</v>
      </c>
      <c r="H82" t="e">
        <f>VLOOKUP(C:C,'[2]Final sheet'!$D$1:$D$65536,1,0)</f>
        <v>#N/A</v>
      </c>
      <c r="I82" t="e">
        <f>VLOOKUP(D:D,'[2]Final sheet'!$D$1:$D$65536,1,0)</f>
        <v>#N/A</v>
      </c>
    </row>
    <row r="83" spans="1:9" x14ac:dyDescent="0.25">
      <c r="A83" s="3">
        <v>1000347</v>
      </c>
      <c r="B83" s="2" t="s">
        <v>117</v>
      </c>
      <c r="C83" s="3">
        <v>1000359</v>
      </c>
      <c r="D83" s="2" t="s">
        <v>119</v>
      </c>
      <c r="E83">
        <f>VLOOKUP(A:A,[1]Sheet1!$A:$A,1,0)</f>
        <v>1000347</v>
      </c>
      <c r="F83" s="5" t="e">
        <f>VLOOKUP(A:A,'[2]Final sheet'!$A$1:$A$65536,1,0)</f>
        <v>#N/A</v>
      </c>
      <c r="G83" t="e">
        <f>VLOOKUP(B:B,'[2]Final sheet'!$B$1:$B$65536,1,0)</f>
        <v>#N/A</v>
      </c>
      <c r="H83" t="e">
        <f>VLOOKUP(C:C,'[2]Final sheet'!$D$1:$D$65536,1,0)</f>
        <v>#N/A</v>
      </c>
      <c r="I83" t="e">
        <f>VLOOKUP(D:D,'[2]Final sheet'!$D$1:$D$65536,1,0)</f>
        <v>#N/A</v>
      </c>
    </row>
    <row r="84" spans="1:9" x14ac:dyDescent="0.25">
      <c r="A84" s="3">
        <v>1000355</v>
      </c>
      <c r="B84" s="2" t="s">
        <v>120</v>
      </c>
      <c r="C84" s="3">
        <v>1000360</v>
      </c>
      <c r="D84" s="2" t="s">
        <v>121</v>
      </c>
      <c r="E84" t="e">
        <f>VLOOKUP(A:A,[1]Sheet1!$A:$A,1,0)</f>
        <v>#N/A</v>
      </c>
      <c r="F84" s="5" t="e">
        <f>VLOOKUP(A:A,'[2]Final sheet'!$A$1:$A$65536,1,0)</f>
        <v>#N/A</v>
      </c>
      <c r="G84" t="e">
        <f>VLOOKUP(B:B,'[2]Final sheet'!$B$1:$B$65536,1,0)</f>
        <v>#N/A</v>
      </c>
      <c r="H84" t="e">
        <f>VLOOKUP(C:C,'[2]Final sheet'!$D$1:$D$65536,1,0)</f>
        <v>#N/A</v>
      </c>
      <c r="I84" t="e">
        <f>VLOOKUP(D:D,'[2]Final sheet'!$D$1:$D$65536,1,0)</f>
        <v>#N/A</v>
      </c>
    </row>
    <row r="85" spans="1:9" x14ac:dyDescent="0.25">
      <c r="A85" s="3">
        <v>1000355</v>
      </c>
      <c r="B85" s="2" t="s">
        <v>120</v>
      </c>
      <c r="C85" s="3">
        <v>1000361</v>
      </c>
      <c r="D85" s="2" t="s">
        <v>122</v>
      </c>
      <c r="E85" t="e">
        <f>VLOOKUP(A:A,[1]Sheet1!$A:$A,1,0)</f>
        <v>#N/A</v>
      </c>
      <c r="F85" s="5" t="e">
        <f>VLOOKUP(A:A,'[2]Final sheet'!$A$1:$A$65536,1,0)</f>
        <v>#N/A</v>
      </c>
      <c r="G85" t="e">
        <f>VLOOKUP(B:B,'[2]Final sheet'!$B$1:$B$65536,1,0)</f>
        <v>#N/A</v>
      </c>
      <c r="H85" t="e">
        <f>VLOOKUP(C:C,'[2]Final sheet'!$D$1:$D$65536,1,0)</f>
        <v>#N/A</v>
      </c>
      <c r="I85" t="e">
        <f>VLOOKUP(D:D,'[2]Final sheet'!$D$1:$D$65536,1,0)</f>
        <v>#N/A</v>
      </c>
    </row>
    <row r="86" spans="1:9" x14ac:dyDescent="0.25">
      <c r="A86" s="3">
        <v>1000347</v>
      </c>
      <c r="B86" s="2" t="s">
        <v>117</v>
      </c>
      <c r="C86" s="3">
        <v>1000348</v>
      </c>
      <c r="D86" s="2" t="s">
        <v>123</v>
      </c>
      <c r="E86">
        <f>VLOOKUP(A:A,[1]Sheet1!$A:$A,1,0)</f>
        <v>1000347</v>
      </c>
      <c r="F86" s="5" t="e">
        <f>VLOOKUP(A:A,'[2]Final sheet'!$A$1:$A$65536,1,0)</f>
        <v>#N/A</v>
      </c>
      <c r="G86" t="e">
        <f>VLOOKUP(B:B,'[2]Final sheet'!$B$1:$B$65536,1,0)</f>
        <v>#N/A</v>
      </c>
      <c r="H86" t="e">
        <f>VLOOKUP(C:C,'[2]Final sheet'!$D$1:$D$65536,1,0)</f>
        <v>#N/A</v>
      </c>
      <c r="I86" t="e">
        <f>VLOOKUP(D:D,'[2]Final sheet'!$D$1:$D$65536,1,0)</f>
        <v>#N/A</v>
      </c>
    </row>
    <row r="87" spans="1:9" x14ac:dyDescent="0.25">
      <c r="A87" s="3">
        <v>1000353</v>
      </c>
      <c r="B87" s="2" t="s">
        <v>124</v>
      </c>
      <c r="C87" s="3">
        <v>1000354</v>
      </c>
      <c r="D87" s="2" t="s">
        <v>125</v>
      </c>
      <c r="E87" t="e">
        <f>VLOOKUP(A:A,[1]Sheet1!$A:$A,1,0)</f>
        <v>#N/A</v>
      </c>
      <c r="F87" s="5" t="e">
        <f>VLOOKUP(A:A,'[2]Final sheet'!$A$1:$A$65536,1,0)</f>
        <v>#N/A</v>
      </c>
      <c r="G87" t="e">
        <f>VLOOKUP(B:B,'[2]Final sheet'!$B$1:$B$65536,1,0)</f>
        <v>#N/A</v>
      </c>
      <c r="H87" t="e">
        <f>VLOOKUP(C:C,'[2]Final sheet'!$D$1:$D$65536,1,0)</f>
        <v>#N/A</v>
      </c>
      <c r="I87" t="e">
        <f>VLOOKUP(D:D,'[2]Final sheet'!$D$1:$D$65536,1,0)</f>
        <v>#N/A</v>
      </c>
    </row>
    <row r="88" spans="1:9" x14ac:dyDescent="0.25">
      <c r="A88" s="3">
        <v>1000355</v>
      </c>
      <c r="B88" s="2" t="s">
        <v>120</v>
      </c>
      <c r="C88" s="3">
        <v>1000357</v>
      </c>
      <c r="D88" s="2" t="s">
        <v>126</v>
      </c>
      <c r="E88" t="e">
        <f>VLOOKUP(A:A,[1]Sheet1!$A:$A,1,0)</f>
        <v>#N/A</v>
      </c>
      <c r="F88" s="5" t="e">
        <f>VLOOKUP(A:A,'[2]Final sheet'!$A$1:$A$65536,1,0)</f>
        <v>#N/A</v>
      </c>
      <c r="G88" t="e">
        <f>VLOOKUP(B:B,'[2]Final sheet'!$B$1:$B$65536,1,0)</f>
        <v>#N/A</v>
      </c>
      <c r="H88" t="e">
        <f>VLOOKUP(C:C,'[2]Final sheet'!$D$1:$D$65536,1,0)</f>
        <v>#N/A</v>
      </c>
      <c r="I88" t="e">
        <f>VLOOKUP(D:D,'[2]Final sheet'!$D$1:$D$65536,1,0)</f>
        <v>#N/A</v>
      </c>
    </row>
    <row r="89" spans="1:9" x14ac:dyDescent="0.25">
      <c r="A89" s="3">
        <v>1003302</v>
      </c>
      <c r="B89" s="2" t="s">
        <v>127</v>
      </c>
      <c r="C89" s="3">
        <v>1003336</v>
      </c>
      <c r="D89" s="2" t="s">
        <v>128</v>
      </c>
      <c r="E89">
        <f>VLOOKUP(A:A,[1]Sheet1!$A:$A,1,0)</f>
        <v>1003302</v>
      </c>
      <c r="F89" s="5" t="e">
        <f>VLOOKUP(A:A,'[2]Final sheet'!$A$1:$A$65536,1,0)</f>
        <v>#N/A</v>
      </c>
      <c r="G89" t="e">
        <f>VLOOKUP(B:B,'[2]Final sheet'!$B$1:$B$65536,1,0)</f>
        <v>#N/A</v>
      </c>
      <c r="H89" t="e">
        <f>VLOOKUP(C:C,'[2]Final sheet'!$D$1:$D$65536,1,0)</f>
        <v>#N/A</v>
      </c>
      <c r="I89" t="e">
        <f>VLOOKUP(D:D,'[2]Final sheet'!$D$1:$D$65536,1,0)</f>
        <v>#N/A</v>
      </c>
    </row>
    <row r="90" spans="1:9" x14ac:dyDescent="0.25">
      <c r="A90" s="3">
        <v>500540</v>
      </c>
      <c r="B90" s="2" t="s">
        <v>129</v>
      </c>
      <c r="C90" s="3">
        <v>1003365</v>
      </c>
      <c r="D90" s="2" t="s">
        <v>130</v>
      </c>
      <c r="E90">
        <f>VLOOKUP(A:A,[1]Sheet1!$A:$A,1,0)</f>
        <v>500540</v>
      </c>
      <c r="F90" s="5">
        <f>VLOOKUP(A:A,'[2]Final sheet'!$A$1:$A$65536,1,0)</f>
        <v>500540</v>
      </c>
      <c r="G90" t="str">
        <f>VLOOKUP(B:B,'[2]Final sheet'!$B$1:$B$65536,1,0)</f>
        <v>Others</v>
      </c>
      <c r="H90" t="e">
        <f>VLOOKUP(C:C,'[2]Final sheet'!$D$1:$D$65536,1,0)</f>
        <v>#N/A</v>
      </c>
      <c r="I90" t="e">
        <f>VLOOKUP(D:D,'[2]Final sheet'!$D$1:$D$65536,1,0)</f>
        <v>#N/A</v>
      </c>
    </row>
    <row r="91" spans="1:9" x14ac:dyDescent="0.25">
      <c r="A91" s="3">
        <v>1003301</v>
      </c>
      <c r="B91" s="2" t="s">
        <v>131</v>
      </c>
      <c r="C91" s="3">
        <v>1003332</v>
      </c>
      <c r="D91" s="2" t="s">
        <v>131</v>
      </c>
      <c r="E91">
        <f>VLOOKUP(A:A,[1]Sheet1!$A:$A,1,0)</f>
        <v>1003301</v>
      </c>
      <c r="F91" s="5" t="e">
        <f>VLOOKUP(A:A,'[2]Final sheet'!$A$1:$A$65536,1,0)</f>
        <v>#N/A</v>
      </c>
      <c r="G91" t="str">
        <f>VLOOKUP(B:B,'[2]Final sheet'!$B$1:$B$65536,1,0)</f>
        <v>Miscellaneous Charges</v>
      </c>
      <c r="H91" t="e">
        <f>VLOOKUP(C:C,'[2]Final sheet'!$D$1:$D$65536,1,0)</f>
        <v>#N/A</v>
      </c>
      <c r="I91" t="e">
        <f>VLOOKUP(D:D,'[2]Final sheet'!$D$1:$D$65536,1,0)</f>
        <v>#N/A</v>
      </c>
    </row>
    <row r="92" spans="1:9" x14ac:dyDescent="0.25">
      <c r="A92" s="3">
        <v>1003302</v>
      </c>
      <c r="B92" s="2" t="s">
        <v>127</v>
      </c>
      <c r="C92" s="3">
        <v>1003333</v>
      </c>
      <c r="D92" s="2" t="s">
        <v>132</v>
      </c>
      <c r="E92">
        <f>VLOOKUP(A:A,[1]Sheet1!$A:$A,1,0)</f>
        <v>1003302</v>
      </c>
      <c r="F92" s="5" t="e">
        <f>VLOOKUP(A:A,'[2]Final sheet'!$A$1:$A$65536,1,0)</f>
        <v>#N/A</v>
      </c>
      <c r="G92" t="e">
        <f>VLOOKUP(B:B,'[2]Final sheet'!$B$1:$B$65536,1,0)</f>
        <v>#N/A</v>
      </c>
      <c r="H92" t="e">
        <f>VLOOKUP(C:C,'[2]Final sheet'!$D$1:$D$65536,1,0)</f>
        <v>#N/A</v>
      </c>
      <c r="I92" t="e">
        <f>VLOOKUP(D:D,'[2]Final sheet'!$D$1:$D$65536,1,0)</f>
        <v>#N/A</v>
      </c>
    </row>
    <row r="93" spans="1:9" x14ac:dyDescent="0.25">
      <c r="A93" s="3">
        <v>1003302</v>
      </c>
      <c r="B93" s="2" t="s">
        <v>127</v>
      </c>
      <c r="C93" s="3">
        <v>1003334</v>
      </c>
      <c r="D93" s="2" t="s">
        <v>133</v>
      </c>
      <c r="E93">
        <f>VLOOKUP(A:A,[1]Sheet1!$A:$A,1,0)</f>
        <v>1003302</v>
      </c>
      <c r="F93" s="5" t="e">
        <f>VLOOKUP(A:A,'[2]Final sheet'!$A$1:$A$65536,1,0)</f>
        <v>#N/A</v>
      </c>
      <c r="G93" t="e">
        <f>VLOOKUP(B:B,'[2]Final sheet'!$B$1:$B$65536,1,0)</f>
        <v>#N/A</v>
      </c>
      <c r="H93" t="e">
        <f>VLOOKUP(C:C,'[2]Final sheet'!$D$1:$D$65536,1,0)</f>
        <v>#N/A</v>
      </c>
      <c r="I93" t="e">
        <f>VLOOKUP(D:D,'[2]Final sheet'!$D$1:$D$65536,1,0)</f>
        <v>#N/A</v>
      </c>
    </row>
    <row r="94" spans="1:9" x14ac:dyDescent="0.25">
      <c r="A94" s="3">
        <v>1003302</v>
      </c>
      <c r="B94" s="2" t="s">
        <v>127</v>
      </c>
      <c r="C94" s="3">
        <v>1003335</v>
      </c>
      <c r="D94" s="2" t="s">
        <v>134</v>
      </c>
      <c r="E94">
        <f>VLOOKUP(A:A,[1]Sheet1!$A:$A,1,0)</f>
        <v>1003302</v>
      </c>
      <c r="F94" s="5" t="e">
        <f>VLOOKUP(A:A,'[2]Final sheet'!$A$1:$A$65536,1,0)</f>
        <v>#N/A</v>
      </c>
      <c r="G94" t="e">
        <f>VLOOKUP(B:B,'[2]Final sheet'!$B$1:$B$65536,1,0)</f>
        <v>#N/A</v>
      </c>
      <c r="H94" t="e">
        <f>VLOOKUP(C:C,'[2]Final sheet'!$D$1:$D$65536,1,0)</f>
        <v>#N/A</v>
      </c>
      <c r="I94" t="e">
        <f>VLOOKUP(D:D,'[2]Final sheet'!$D$1:$D$65536,1,0)</f>
        <v>#N/A</v>
      </c>
    </row>
    <row r="95" spans="1:9" x14ac:dyDescent="0.25">
      <c r="A95" s="3">
        <v>1003302</v>
      </c>
      <c r="B95" s="2" t="s">
        <v>127</v>
      </c>
      <c r="C95" s="3">
        <v>1003337</v>
      </c>
      <c r="D95" s="2" t="s">
        <v>135</v>
      </c>
      <c r="E95">
        <f>VLOOKUP(A:A,[1]Sheet1!$A:$A,1,0)</f>
        <v>1003302</v>
      </c>
      <c r="F95" s="5" t="e">
        <f>VLOOKUP(A:A,'[2]Final sheet'!$A$1:$A$65536,1,0)</f>
        <v>#N/A</v>
      </c>
      <c r="G95" t="e">
        <f>VLOOKUP(B:B,'[2]Final sheet'!$B$1:$B$65536,1,0)</f>
        <v>#N/A</v>
      </c>
      <c r="H95" t="e">
        <f>VLOOKUP(C:C,'[2]Final sheet'!$D$1:$D$65536,1,0)</f>
        <v>#N/A</v>
      </c>
      <c r="I95" t="e">
        <f>VLOOKUP(D:D,'[2]Final sheet'!$D$1:$D$65536,1,0)</f>
        <v>#N/A</v>
      </c>
    </row>
    <row r="96" spans="1:9" x14ac:dyDescent="0.25">
      <c r="A96" s="3">
        <v>1003303</v>
      </c>
      <c r="B96" s="2" t="s">
        <v>136</v>
      </c>
      <c r="C96" s="3">
        <v>1003338</v>
      </c>
      <c r="D96" s="2" t="s">
        <v>137</v>
      </c>
      <c r="E96">
        <f>VLOOKUP(A:A,[1]Sheet1!$A:$A,1,0)</f>
        <v>1003303</v>
      </c>
      <c r="F96" s="5" t="e">
        <f>VLOOKUP(A:A,'[2]Final sheet'!$A$1:$A$65536,1,0)</f>
        <v>#N/A</v>
      </c>
      <c r="G96" t="e">
        <f>VLOOKUP(B:B,'[2]Final sheet'!$B$1:$B$65536,1,0)</f>
        <v>#N/A</v>
      </c>
      <c r="H96" t="e">
        <f>VLOOKUP(C:C,'[2]Final sheet'!$D$1:$D$65536,1,0)</f>
        <v>#N/A</v>
      </c>
      <c r="I96" t="e">
        <f>VLOOKUP(D:D,'[2]Final sheet'!$D$1:$D$65536,1,0)</f>
        <v>#N/A</v>
      </c>
    </row>
    <row r="97" spans="1:9" x14ac:dyDescent="0.25">
      <c r="A97" s="3">
        <v>1003303</v>
      </c>
      <c r="B97" s="2" t="s">
        <v>136</v>
      </c>
      <c r="C97" s="3">
        <v>1003339</v>
      </c>
      <c r="D97" s="2" t="s">
        <v>138</v>
      </c>
      <c r="E97">
        <f>VLOOKUP(A:A,[1]Sheet1!$A:$A,1,0)</f>
        <v>1003303</v>
      </c>
      <c r="F97" s="5" t="e">
        <f>VLOOKUP(A:A,'[2]Final sheet'!$A$1:$A$65536,1,0)</f>
        <v>#N/A</v>
      </c>
      <c r="G97" t="e">
        <f>VLOOKUP(B:B,'[2]Final sheet'!$B$1:$B$65536,1,0)</f>
        <v>#N/A</v>
      </c>
      <c r="H97" t="e">
        <f>VLOOKUP(C:C,'[2]Final sheet'!$D$1:$D$65536,1,0)</f>
        <v>#N/A</v>
      </c>
      <c r="I97" t="e">
        <f>VLOOKUP(D:D,'[2]Final sheet'!$D$1:$D$65536,1,0)</f>
        <v>#N/A</v>
      </c>
    </row>
    <row r="98" spans="1:9" x14ac:dyDescent="0.25">
      <c r="A98" s="3">
        <v>1003304</v>
      </c>
      <c r="B98" s="2" t="s">
        <v>139</v>
      </c>
      <c r="C98" s="3">
        <v>1003340</v>
      </c>
      <c r="D98" s="2" t="s">
        <v>140</v>
      </c>
      <c r="E98">
        <f>VLOOKUP(A:A,[1]Sheet1!$A:$A,1,0)</f>
        <v>1003304</v>
      </c>
      <c r="F98" s="5" t="e">
        <f>VLOOKUP(A:A,'[2]Final sheet'!$A$1:$A$65536,1,0)</f>
        <v>#N/A</v>
      </c>
      <c r="G98" t="e">
        <f>VLOOKUP(B:B,'[2]Final sheet'!$B$1:$B$65536,1,0)</f>
        <v>#N/A</v>
      </c>
      <c r="H98" t="e">
        <f>VLOOKUP(C:C,'[2]Final sheet'!$D$1:$D$65536,1,0)</f>
        <v>#N/A</v>
      </c>
      <c r="I98" t="e">
        <f>VLOOKUP(D:D,'[2]Final sheet'!$D$1:$D$65536,1,0)</f>
        <v>#N/A</v>
      </c>
    </row>
    <row r="99" spans="1:9" x14ac:dyDescent="0.25">
      <c r="A99" s="3">
        <v>1003305</v>
      </c>
      <c r="B99" s="2" t="s">
        <v>141</v>
      </c>
      <c r="C99" s="3">
        <v>1003341</v>
      </c>
      <c r="D99" s="2" t="s">
        <v>141</v>
      </c>
      <c r="E99">
        <f>VLOOKUP(A:A,[1]Sheet1!$A:$A,1,0)</f>
        <v>1003305</v>
      </c>
      <c r="F99" s="5" t="e">
        <f>VLOOKUP(A:A,'[2]Final sheet'!$A$1:$A$65536,1,0)</f>
        <v>#N/A</v>
      </c>
      <c r="G99" t="str">
        <f>VLOOKUP(B:B,'[2]Final sheet'!$B$1:$B$65536,1,0)</f>
        <v>Package Charges</v>
      </c>
      <c r="H99" t="e">
        <f>VLOOKUP(C:C,'[2]Final sheet'!$D$1:$D$65536,1,0)</f>
        <v>#N/A</v>
      </c>
      <c r="I99" t="e">
        <f>VLOOKUP(D:D,'[2]Final sheet'!$D$1:$D$65536,1,0)</f>
        <v>#N/A</v>
      </c>
    </row>
    <row r="100" spans="1:9" x14ac:dyDescent="0.25">
      <c r="A100" s="3">
        <v>1003306</v>
      </c>
      <c r="B100" s="2" t="s">
        <v>142</v>
      </c>
      <c r="C100" s="3">
        <v>1003342</v>
      </c>
      <c r="D100" s="2" t="s">
        <v>143</v>
      </c>
      <c r="E100">
        <f>VLOOKUP(A:A,[1]Sheet1!$A:$A,1,0)</f>
        <v>1003306</v>
      </c>
      <c r="F100" s="5" t="e">
        <f>VLOOKUP(A:A,'[2]Final sheet'!$A$1:$A$65536,1,0)</f>
        <v>#N/A</v>
      </c>
      <c r="G100" t="e">
        <f>VLOOKUP(B:B,'[2]Final sheet'!$B$1:$B$65536,1,0)</f>
        <v>#N/A</v>
      </c>
      <c r="H100" t="e">
        <f>VLOOKUP(C:C,'[2]Final sheet'!$D$1:$D$65536,1,0)</f>
        <v>#N/A</v>
      </c>
      <c r="I100" t="e">
        <f>VLOOKUP(D:D,'[2]Final sheet'!$D$1:$D$65536,1,0)</f>
        <v>#N/A</v>
      </c>
    </row>
    <row r="101" spans="1:9" x14ac:dyDescent="0.25">
      <c r="A101" s="3">
        <v>1003307</v>
      </c>
      <c r="B101" s="2" t="s">
        <v>144</v>
      </c>
      <c r="C101" s="3">
        <v>1003343</v>
      </c>
      <c r="D101" s="2" t="s">
        <v>145</v>
      </c>
      <c r="E101">
        <f>VLOOKUP(A:A,[1]Sheet1!$A:$A,1,0)</f>
        <v>1003307</v>
      </c>
      <c r="F101" s="5" t="e">
        <f>VLOOKUP(A:A,'[2]Final sheet'!$A$1:$A$65536,1,0)</f>
        <v>#N/A</v>
      </c>
      <c r="G101" t="str">
        <f>VLOOKUP(B:B,'[2]Final sheet'!$B$1:$B$65536,1,0)</f>
        <v>Room Nursing Charges</v>
      </c>
      <c r="H101" t="e">
        <f>VLOOKUP(C:C,'[2]Final sheet'!$D$1:$D$65536,1,0)</f>
        <v>#N/A</v>
      </c>
      <c r="I101" t="e">
        <f>VLOOKUP(D:D,'[2]Final sheet'!$D$1:$D$65536,1,0)</f>
        <v>#N/A</v>
      </c>
    </row>
    <row r="102" spans="1:9" x14ac:dyDescent="0.25">
      <c r="A102" s="3">
        <v>1003307</v>
      </c>
      <c r="B102" s="2" t="s">
        <v>144</v>
      </c>
      <c r="C102" s="3">
        <v>1003344</v>
      </c>
      <c r="D102" s="2" t="s">
        <v>146</v>
      </c>
      <c r="E102">
        <f>VLOOKUP(A:A,[1]Sheet1!$A:$A,1,0)</f>
        <v>1003307</v>
      </c>
      <c r="F102" s="5" t="e">
        <f>VLOOKUP(A:A,'[2]Final sheet'!$A$1:$A$65536,1,0)</f>
        <v>#N/A</v>
      </c>
      <c r="G102" t="str">
        <f>VLOOKUP(B:B,'[2]Final sheet'!$B$1:$B$65536,1,0)</f>
        <v>Room Nursing Charges</v>
      </c>
      <c r="H102" t="e">
        <f>VLOOKUP(C:C,'[2]Final sheet'!$D$1:$D$65536,1,0)</f>
        <v>#N/A</v>
      </c>
      <c r="I102" t="e">
        <f>VLOOKUP(D:D,'[2]Final sheet'!$D$1:$D$65536,1,0)</f>
        <v>#N/A</v>
      </c>
    </row>
    <row r="103" spans="1:9" x14ac:dyDescent="0.25">
      <c r="A103" s="3">
        <v>1003307</v>
      </c>
      <c r="B103" s="2" t="s">
        <v>144</v>
      </c>
      <c r="C103" s="3">
        <v>1003345</v>
      </c>
      <c r="D103" s="2" t="s">
        <v>147</v>
      </c>
      <c r="E103">
        <f>VLOOKUP(A:A,[1]Sheet1!$A:$A,1,0)</f>
        <v>1003307</v>
      </c>
      <c r="F103" s="5" t="e">
        <f>VLOOKUP(A:A,'[2]Final sheet'!$A$1:$A$65536,1,0)</f>
        <v>#N/A</v>
      </c>
      <c r="G103" t="str">
        <f>VLOOKUP(B:B,'[2]Final sheet'!$B$1:$B$65536,1,0)</f>
        <v>Room Nursing Charges</v>
      </c>
      <c r="H103" t="e">
        <f>VLOOKUP(C:C,'[2]Final sheet'!$D$1:$D$65536,1,0)</f>
        <v>#N/A</v>
      </c>
      <c r="I103" t="e">
        <f>VLOOKUP(D:D,'[2]Final sheet'!$D$1:$D$65536,1,0)</f>
        <v>#N/A</v>
      </c>
    </row>
    <row r="104" spans="1:9" x14ac:dyDescent="0.25">
      <c r="A104" s="3">
        <v>1003307</v>
      </c>
      <c r="B104" s="2" t="s">
        <v>144</v>
      </c>
      <c r="C104" s="3">
        <v>1003346</v>
      </c>
      <c r="D104" s="2" t="s">
        <v>132</v>
      </c>
      <c r="E104">
        <f>VLOOKUP(A:A,[1]Sheet1!$A:$A,1,0)</f>
        <v>1003307</v>
      </c>
      <c r="F104" s="5" t="e">
        <f>VLOOKUP(A:A,'[2]Final sheet'!$A$1:$A$65536,1,0)</f>
        <v>#N/A</v>
      </c>
      <c r="G104" t="str">
        <f>VLOOKUP(B:B,'[2]Final sheet'!$B$1:$B$65536,1,0)</f>
        <v>Room Nursing Charges</v>
      </c>
      <c r="H104" t="e">
        <f>VLOOKUP(C:C,'[2]Final sheet'!$D$1:$D$65536,1,0)</f>
        <v>#N/A</v>
      </c>
      <c r="I104" t="e">
        <f>VLOOKUP(D:D,'[2]Final sheet'!$D$1:$D$65536,1,0)</f>
        <v>#N/A</v>
      </c>
    </row>
    <row r="105" spans="1:9" x14ac:dyDescent="0.25">
      <c r="A105" s="3">
        <v>1003307</v>
      </c>
      <c r="B105" s="2" t="s">
        <v>144</v>
      </c>
      <c r="C105" s="3">
        <v>1003347</v>
      </c>
      <c r="D105" s="2" t="s">
        <v>148</v>
      </c>
      <c r="E105">
        <f>VLOOKUP(A:A,[1]Sheet1!$A:$A,1,0)</f>
        <v>1003307</v>
      </c>
      <c r="F105" s="5" t="e">
        <f>VLOOKUP(A:A,'[2]Final sheet'!$A$1:$A$65536,1,0)</f>
        <v>#N/A</v>
      </c>
      <c r="G105" t="str">
        <f>VLOOKUP(B:B,'[2]Final sheet'!$B$1:$B$65536,1,0)</f>
        <v>Room Nursing Charges</v>
      </c>
      <c r="H105" t="e">
        <f>VLOOKUP(C:C,'[2]Final sheet'!$D$1:$D$65536,1,0)</f>
        <v>#N/A</v>
      </c>
      <c r="I105" t="e">
        <f>VLOOKUP(D:D,'[2]Final sheet'!$D$1:$D$65536,1,0)</f>
        <v>#N/A</v>
      </c>
    </row>
    <row r="106" spans="1:9" x14ac:dyDescent="0.25">
      <c r="A106" s="3">
        <v>1003308</v>
      </c>
      <c r="B106" s="2" t="s">
        <v>149</v>
      </c>
      <c r="C106" s="3">
        <v>1003348</v>
      </c>
      <c r="D106" s="2" t="s">
        <v>149</v>
      </c>
      <c r="E106">
        <f>VLOOKUP(A:A,[1]Sheet1!$A:$A,1,0)</f>
        <v>1003308</v>
      </c>
      <c r="F106" s="5" t="e">
        <f>VLOOKUP(A:A,'[2]Final sheet'!$A$1:$A$65536,1,0)</f>
        <v>#N/A</v>
      </c>
      <c r="G106" t="str">
        <f>VLOOKUP(B:B,'[2]Final sheet'!$B$1:$B$65536,1,0)</f>
        <v>Wellness OPD</v>
      </c>
      <c r="H106" t="e">
        <f>VLOOKUP(C:C,'[2]Final sheet'!$D$1:$D$65536,1,0)</f>
        <v>#N/A</v>
      </c>
      <c r="I106" t="e">
        <f>VLOOKUP(D:D,'[2]Final sheet'!$D$1:$D$65536,1,0)</f>
        <v>#N/A</v>
      </c>
    </row>
    <row r="107" spans="1:9" x14ac:dyDescent="0.25">
      <c r="A107" s="3">
        <v>500540</v>
      </c>
      <c r="B107" s="2" t="s">
        <v>129</v>
      </c>
      <c r="C107" s="3">
        <v>1003349</v>
      </c>
      <c r="D107" s="2" t="s">
        <v>129</v>
      </c>
      <c r="E107">
        <f>VLOOKUP(A:A,[1]Sheet1!$A:$A,1,0)</f>
        <v>500540</v>
      </c>
      <c r="F107" s="5">
        <f>VLOOKUP(A:A,'[2]Final sheet'!$A$1:$A$65536,1,0)</f>
        <v>500540</v>
      </c>
      <c r="G107" t="str">
        <f>VLOOKUP(B:B,'[2]Final sheet'!$B$1:$B$65536,1,0)</f>
        <v>Others</v>
      </c>
      <c r="H107" t="e">
        <f>VLOOKUP(C:C,'[2]Final sheet'!$D$1:$D$65536,1,0)</f>
        <v>#N/A</v>
      </c>
      <c r="I107" t="e">
        <f>VLOOKUP(D:D,'[2]Final sheet'!$D$1:$D$65536,1,0)</f>
        <v>#N/A</v>
      </c>
    </row>
    <row r="108" spans="1:9" x14ac:dyDescent="0.25">
      <c r="A108" s="3">
        <v>1003309</v>
      </c>
      <c r="B108" s="2" t="s">
        <v>150</v>
      </c>
      <c r="C108" s="3">
        <v>1003350</v>
      </c>
      <c r="D108" s="2" t="s">
        <v>150</v>
      </c>
      <c r="E108">
        <f>VLOOKUP(A:A,[1]Sheet1!$A:$A,1,0)</f>
        <v>1003309</v>
      </c>
      <c r="F108" s="5" t="e">
        <f>VLOOKUP(A:A,'[2]Final sheet'!$A$1:$A$65536,1,0)</f>
        <v>#N/A</v>
      </c>
      <c r="G108" t="e">
        <f>VLOOKUP(B:B,'[2]Final sheet'!$B$1:$B$65536,1,0)</f>
        <v>#N/A</v>
      </c>
      <c r="H108" t="e">
        <f>VLOOKUP(C:C,'[2]Final sheet'!$D$1:$D$65536,1,0)</f>
        <v>#N/A</v>
      </c>
      <c r="I108" t="e">
        <f>VLOOKUP(D:D,'[2]Final sheet'!$D$1:$D$65536,1,0)</f>
        <v>#N/A</v>
      </c>
    </row>
    <row r="109" spans="1:9" x14ac:dyDescent="0.25">
      <c r="A109" s="3">
        <v>500536</v>
      </c>
      <c r="B109" s="2" t="s">
        <v>151</v>
      </c>
      <c r="C109" s="3">
        <v>1003322</v>
      </c>
      <c r="D109" s="2" t="s">
        <v>152</v>
      </c>
      <c r="E109">
        <f>VLOOKUP(A:A,[1]Sheet1!$A:$A,1,0)</f>
        <v>500536</v>
      </c>
      <c r="F109" s="5" t="e">
        <f>VLOOKUP(A:A,'[2]Final sheet'!$A$1:$A$65536,1,0)</f>
        <v>#N/A</v>
      </c>
      <c r="G109" t="e">
        <f>VLOOKUP(B:B,'[2]Final sheet'!$B$1:$B$65536,1,0)</f>
        <v>#N/A</v>
      </c>
      <c r="H109" t="e">
        <f>VLOOKUP(C:C,'[2]Final sheet'!$D$1:$D$65536,1,0)</f>
        <v>#N/A</v>
      </c>
      <c r="I109" t="e">
        <f>VLOOKUP(D:D,'[2]Final sheet'!$D$1:$D$65536,1,0)</f>
        <v>#N/A</v>
      </c>
    </row>
    <row r="110" spans="1:9" x14ac:dyDescent="0.25">
      <c r="A110" s="3">
        <v>500534</v>
      </c>
      <c r="B110" s="2" t="s">
        <v>16</v>
      </c>
      <c r="C110" s="3">
        <v>1003319</v>
      </c>
      <c r="D110" s="2" t="s">
        <v>153</v>
      </c>
      <c r="E110">
        <f>VLOOKUP(A:A,[1]Sheet1!$A:$A,1,0)</f>
        <v>500534</v>
      </c>
      <c r="F110" s="5">
        <f>VLOOKUP(A:A,'[2]Final sheet'!$A$1:$A$65536,1,0)</f>
        <v>500534</v>
      </c>
      <c r="G110" t="str">
        <f>VLOOKUP(B:B,'[2]Final sheet'!$B$1:$B$65536,1,0)</f>
        <v>Consumable Charges</v>
      </c>
      <c r="H110" t="e">
        <f>VLOOKUP(C:C,'[2]Final sheet'!$D$1:$D$65536,1,0)</f>
        <v>#N/A</v>
      </c>
      <c r="I110" t="e">
        <f>VLOOKUP(D:D,'[2]Final sheet'!$D$1:$D$65536,1,0)</f>
        <v>#N/A</v>
      </c>
    </row>
    <row r="111" spans="1:9" x14ac:dyDescent="0.25">
      <c r="A111" s="3">
        <v>500534</v>
      </c>
      <c r="B111" s="2" t="s">
        <v>16</v>
      </c>
      <c r="C111" s="3">
        <v>1003320</v>
      </c>
      <c r="D111" s="2" t="s">
        <v>154</v>
      </c>
      <c r="E111">
        <f>VLOOKUP(A:A,[1]Sheet1!$A:$A,1,0)</f>
        <v>500534</v>
      </c>
      <c r="F111" s="5">
        <f>VLOOKUP(A:A,'[2]Final sheet'!$A$1:$A$65536,1,0)</f>
        <v>500534</v>
      </c>
      <c r="G111" t="str">
        <f>VLOOKUP(B:B,'[2]Final sheet'!$B$1:$B$65536,1,0)</f>
        <v>Consumable Charges</v>
      </c>
      <c r="H111" t="e">
        <f>VLOOKUP(C:C,'[2]Final sheet'!$D$1:$D$65536,1,0)</f>
        <v>#N/A</v>
      </c>
      <c r="I111" t="e">
        <f>VLOOKUP(D:D,'[2]Final sheet'!$D$1:$D$65536,1,0)</f>
        <v>#N/A</v>
      </c>
    </row>
    <row r="112" spans="1:9" x14ac:dyDescent="0.25">
      <c r="A112" s="3">
        <v>500534</v>
      </c>
      <c r="B112" s="2" t="s">
        <v>16</v>
      </c>
      <c r="C112" s="3">
        <v>1003321</v>
      </c>
      <c r="D112" s="2" t="s">
        <v>155</v>
      </c>
      <c r="E112">
        <f>VLOOKUP(A:A,[1]Sheet1!$A:$A,1,0)</f>
        <v>500534</v>
      </c>
      <c r="F112" s="5">
        <f>VLOOKUP(A:A,'[2]Final sheet'!$A$1:$A$65536,1,0)</f>
        <v>500534</v>
      </c>
      <c r="G112" t="str">
        <f>VLOOKUP(B:B,'[2]Final sheet'!$B$1:$B$65536,1,0)</f>
        <v>Consumable Charges</v>
      </c>
      <c r="H112" t="e">
        <f>VLOOKUP(C:C,'[2]Final sheet'!$D$1:$D$65536,1,0)</f>
        <v>#N/A</v>
      </c>
      <c r="I112" t="e">
        <f>VLOOKUP(D:D,'[2]Final sheet'!$D$1:$D$65536,1,0)</f>
        <v>#N/A</v>
      </c>
    </row>
    <row r="113" spans="1:9" x14ac:dyDescent="0.25">
      <c r="A113" s="3">
        <v>500536</v>
      </c>
      <c r="B113" s="2" t="s">
        <v>151</v>
      </c>
      <c r="C113" s="3">
        <v>1003323</v>
      </c>
      <c r="D113" s="2" t="s">
        <v>156</v>
      </c>
      <c r="E113">
        <f>VLOOKUP(A:A,[1]Sheet1!$A:$A,1,0)</f>
        <v>500536</v>
      </c>
      <c r="F113" s="5" t="e">
        <f>VLOOKUP(A:A,'[2]Final sheet'!$A$1:$A$65536,1,0)</f>
        <v>#N/A</v>
      </c>
      <c r="G113" t="e">
        <f>VLOOKUP(B:B,'[2]Final sheet'!$B$1:$B$65536,1,0)</f>
        <v>#N/A</v>
      </c>
      <c r="H113" t="e">
        <f>VLOOKUP(C:C,'[2]Final sheet'!$D$1:$D$65536,1,0)</f>
        <v>#N/A</v>
      </c>
      <c r="I113" t="e">
        <f>VLOOKUP(D:D,'[2]Final sheet'!$D$1:$D$65536,1,0)</f>
        <v>#N/A</v>
      </c>
    </row>
    <row r="114" spans="1:9" x14ac:dyDescent="0.25">
      <c r="A114" s="3">
        <v>500536</v>
      </c>
      <c r="B114" s="2" t="s">
        <v>151</v>
      </c>
      <c r="C114" s="3">
        <v>1003324</v>
      </c>
      <c r="D114" s="2" t="s">
        <v>157</v>
      </c>
      <c r="E114">
        <f>VLOOKUP(A:A,[1]Sheet1!$A:$A,1,0)</f>
        <v>500536</v>
      </c>
      <c r="F114" s="5" t="e">
        <f>VLOOKUP(A:A,'[2]Final sheet'!$A$1:$A$65536,1,0)</f>
        <v>#N/A</v>
      </c>
      <c r="G114" t="e">
        <f>VLOOKUP(B:B,'[2]Final sheet'!$B$1:$B$65536,1,0)</f>
        <v>#N/A</v>
      </c>
      <c r="H114" t="e">
        <f>VLOOKUP(C:C,'[2]Final sheet'!$D$1:$D$65536,1,0)</f>
        <v>#N/A</v>
      </c>
      <c r="I114" t="e">
        <f>VLOOKUP(D:D,'[2]Final sheet'!$D$1:$D$65536,1,0)</f>
        <v>#N/A</v>
      </c>
    </row>
    <row r="115" spans="1:9" x14ac:dyDescent="0.25">
      <c r="A115" s="3">
        <v>500538</v>
      </c>
      <c r="B115" s="2" t="s">
        <v>158</v>
      </c>
      <c r="C115" s="3">
        <v>1003325</v>
      </c>
      <c r="D115" s="2" t="s">
        <v>158</v>
      </c>
      <c r="E115">
        <f>VLOOKUP(A:A,[1]Sheet1!$A:$A,1,0)</f>
        <v>500538</v>
      </c>
      <c r="F115" s="5">
        <f>VLOOKUP(A:A,'[2]Final sheet'!$A$1:$A$65536,1,0)</f>
        <v>500538</v>
      </c>
      <c r="G115" t="str">
        <f>VLOOKUP(B:B,'[2]Final sheet'!$B$1:$B$65536,1,0)</f>
        <v>Discounts if any</v>
      </c>
      <c r="H115" t="e">
        <f>VLOOKUP(C:C,'[2]Final sheet'!$D$1:$D$65536,1,0)</f>
        <v>#N/A</v>
      </c>
      <c r="I115" t="e">
        <f>VLOOKUP(D:D,'[2]Final sheet'!$D$1:$D$65536,1,0)</f>
        <v>#N/A</v>
      </c>
    </row>
    <row r="116" spans="1:9" x14ac:dyDescent="0.25">
      <c r="A116" s="3">
        <v>1003294</v>
      </c>
      <c r="B116" s="2" t="s">
        <v>159</v>
      </c>
      <c r="C116" s="3">
        <v>1003326</v>
      </c>
      <c r="D116" s="2" t="s">
        <v>159</v>
      </c>
      <c r="E116">
        <f>VLOOKUP(A:A,[1]Sheet1!$A:$A,1,0)</f>
        <v>1003294</v>
      </c>
      <c r="F116" s="5" t="e">
        <f>VLOOKUP(A:A,'[2]Final sheet'!$A$1:$A$65536,1,0)</f>
        <v>#N/A</v>
      </c>
      <c r="G116" t="str">
        <f>VLOOKUP(B:B,'[2]Final sheet'!$B$1:$B$65536,1,0)</f>
        <v>Equipment charges</v>
      </c>
      <c r="H116" t="e">
        <f>VLOOKUP(C:C,'[2]Final sheet'!$D$1:$D$65536,1,0)</f>
        <v>#N/A</v>
      </c>
      <c r="I116" t="e">
        <f>VLOOKUP(D:D,'[2]Final sheet'!$D$1:$D$65536,1,0)</f>
        <v>#N/A</v>
      </c>
    </row>
    <row r="117" spans="1:9" x14ac:dyDescent="0.25">
      <c r="A117" s="3">
        <v>1003295</v>
      </c>
      <c r="B117" s="2" t="s">
        <v>160</v>
      </c>
      <c r="C117" s="3">
        <v>1003327</v>
      </c>
      <c r="D117" s="2" t="s">
        <v>160</v>
      </c>
      <c r="E117">
        <f>VLOOKUP(A:A,[1]Sheet1!$A:$A,1,0)</f>
        <v>1003295</v>
      </c>
      <c r="F117" s="5" t="e">
        <f>VLOOKUP(A:A,'[2]Final sheet'!$A$1:$A$65536,1,0)</f>
        <v>#N/A</v>
      </c>
      <c r="G117" t="str">
        <f>VLOOKUP(B:B,'[2]Final sheet'!$B$1:$B$65536,1,0)</f>
        <v>Hospital Daily Cash</v>
      </c>
      <c r="H117" t="e">
        <f>VLOOKUP(C:C,'[2]Final sheet'!$D$1:$D$65536,1,0)</f>
        <v>#N/A</v>
      </c>
      <c r="I117" t="e">
        <f>VLOOKUP(D:D,'[2]Final sheet'!$D$1:$D$65536,1,0)</f>
        <v>#N/A</v>
      </c>
    </row>
    <row r="118" spans="1:9" x14ac:dyDescent="0.25">
      <c r="A118" s="3">
        <v>1003297</v>
      </c>
      <c r="B118" s="2" t="s">
        <v>161</v>
      </c>
      <c r="C118" s="3">
        <v>1003328</v>
      </c>
      <c r="D118" s="2" t="s">
        <v>162</v>
      </c>
      <c r="E118">
        <f>VLOOKUP(A:A,[1]Sheet1!$A:$A,1,0)</f>
        <v>1003297</v>
      </c>
      <c r="F118" s="5" t="e">
        <f>VLOOKUP(A:A,'[2]Final sheet'!$A$1:$A$65536,1,0)</f>
        <v>#N/A</v>
      </c>
      <c r="G118" t="e">
        <f>VLOOKUP(B:B,'[2]Final sheet'!$B$1:$B$65536,1,0)</f>
        <v>#N/A</v>
      </c>
      <c r="H118" t="e">
        <f>VLOOKUP(C:C,'[2]Final sheet'!$D$1:$D$65536,1,0)</f>
        <v>#N/A</v>
      </c>
      <c r="I118" t="e">
        <f>VLOOKUP(D:D,'[2]Final sheet'!$D$1:$D$65536,1,0)</f>
        <v>#N/A</v>
      </c>
    </row>
    <row r="119" spans="1:9" x14ac:dyDescent="0.25">
      <c r="A119" s="3">
        <v>1003299</v>
      </c>
      <c r="B119" s="2" t="s">
        <v>163</v>
      </c>
      <c r="C119" s="3">
        <v>1003330</v>
      </c>
      <c r="D119" s="2" t="s">
        <v>163</v>
      </c>
      <c r="E119">
        <f>VLOOKUP(A:A,[1]Sheet1!$A:$A,1,0)</f>
        <v>1003299</v>
      </c>
      <c r="F119" s="5" t="e">
        <f>VLOOKUP(A:A,'[2]Final sheet'!$A$1:$A$65536,1,0)</f>
        <v>#N/A</v>
      </c>
      <c r="G119" t="e">
        <f>VLOOKUP(B:B,'[2]Final sheet'!$B$1:$B$65536,1,0)</f>
        <v>#N/A</v>
      </c>
      <c r="H119" t="e">
        <f>VLOOKUP(C:C,'[2]Final sheet'!$D$1:$D$65536,1,0)</f>
        <v>#N/A</v>
      </c>
      <c r="I119" t="e">
        <f>VLOOKUP(D:D,'[2]Final sheet'!$D$1:$D$65536,1,0)</f>
        <v>#N/A</v>
      </c>
    </row>
    <row r="120" spans="1:9" x14ac:dyDescent="0.25">
      <c r="A120" s="3">
        <v>1003300</v>
      </c>
      <c r="B120" s="2" t="s">
        <v>164</v>
      </c>
      <c r="C120" s="3">
        <v>1003331</v>
      </c>
      <c r="D120" s="2" t="s">
        <v>164</v>
      </c>
      <c r="E120">
        <f>VLOOKUP(A:A,[1]Sheet1!$A:$A,1,0)</f>
        <v>1003300</v>
      </c>
      <c r="F120" s="5" t="e">
        <f>VLOOKUP(A:A,'[2]Final sheet'!$A$1:$A$65536,1,0)</f>
        <v>#N/A</v>
      </c>
      <c r="G120" t="e">
        <f>VLOOKUP(B:B,'[2]Final sheet'!$B$1:$B$65536,1,0)</f>
        <v>#N/A</v>
      </c>
      <c r="H120" t="e">
        <f>VLOOKUP(C:C,'[2]Final sheet'!$D$1:$D$65536,1,0)</f>
        <v>#N/A</v>
      </c>
      <c r="I120" t="e">
        <f>VLOOKUP(D:D,'[2]Final sheet'!$D$1:$D$65536,1,0)</f>
        <v>#N/A</v>
      </c>
    </row>
    <row r="121" spans="1:9" x14ac:dyDescent="0.25">
      <c r="A121" s="3">
        <v>1003285</v>
      </c>
      <c r="B121" s="2" t="s">
        <v>165</v>
      </c>
      <c r="C121" s="3">
        <v>1003288</v>
      </c>
      <c r="D121" s="2" t="s">
        <v>165</v>
      </c>
      <c r="E121">
        <f>VLOOKUP(A:A,[1]Sheet1!$A:$A,1,0)</f>
        <v>1003285</v>
      </c>
      <c r="F121" s="5" t="e">
        <f>VLOOKUP(A:A,'[2]Final sheet'!$A$1:$A$65536,1,0)</f>
        <v>#N/A</v>
      </c>
      <c r="G121" t="str">
        <f>VLOOKUP(B:B,'[2]Final sheet'!$B$1:$B$65536,1,0)</f>
        <v>Ambulance Charges</v>
      </c>
      <c r="H121" t="e">
        <f>VLOOKUP(C:C,'[2]Final sheet'!$D$1:$D$65536,1,0)</f>
        <v>#N/A</v>
      </c>
      <c r="I121" t="e">
        <f>VLOOKUP(D:D,'[2]Final sheet'!$D$1:$D$65536,1,0)</f>
        <v>#N/A</v>
      </c>
    </row>
    <row r="122" spans="1:9" x14ac:dyDescent="0.25">
      <c r="A122" s="3">
        <v>1003287</v>
      </c>
      <c r="B122" s="2" t="s">
        <v>166</v>
      </c>
      <c r="C122" s="3">
        <v>1003289</v>
      </c>
      <c r="D122" s="2" t="s">
        <v>166</v>
      </c>
      <c r="E122">
        <f>VLOOKUP(A:A,[1]Sheet1!$A:$A,1,0)</f>
        <v>1003287</v>
      </c>
      <c r="F122" s="5" t="e">
        <f>VLOOKUP(A:A,'[2]Final sheet'!$A$1:$A$65536,1,0)</f>
        <v>#N/A</v>
      </c>
      <c r="G122" t="str">
        <f>VLOOKUP(B:B,'[2]Final sheet'!$B$1:$B$65536,1,0)</f>
        <v>Anesthesia Charges</v>
      </c>
      <c r="H122" t="e">
        <f>VLOOKUP(C:C,'[2]Final sheet'!$D$1:$D$65536,1,0)</f>
        <v>#N/A</v>
      </c>
      <c r="I122" t="e">
        <f>VLOOKUP(D:D,'[2]Final sheet'!$D$1:$D$65536,1,0)</f>
        <v>#N/A</v>
      </c>
    </row>
    <row r="123" spans="1:9" x14ac:dyDescent="0.25">
      <c r="A123" s="3">
        <v>1003287</v>
      </c>
      <c r="B123" s="2" t="s">
        <v>166</v>
      </c>
      <c r="C123" s="3">
        <v>1003290</v>
      </c>
      <c r="D123" s="2" t="s">
        <v>10</v>
      </c>
      <c r="E123">
        <f>VLOOKUP(A:A,[1]Sheet1!$A:$A,1,0)</f>
        <v>1003287</v>
      </c>
      <c r="F123" s="5" t="e">
        <f>VLOOKUP(A:A,'[2]Final sheet'!$A$1:$A$65536,1,0)</f>
        <v>#N/A</v>
      </c>
      <c r="G123" t="str">
        <f>VLOOKUP(B:B,'[2]Final sheet'!$B$1:$B$65536,1,0)</f>
        <v>Anesthesia Charges</v>
      </c>
      <c r="H123" t="e">
        <f>VLOOKUP(C:C,'[2]Final sheet'!$D$1:$D$65536,1,0)</f>
        <v>#N/A</v>
      </c>
      <c r="I123" t="e">
        <f>VLOOKUP(D:D,'[2]Final sheet'!$D$1:$D$65536,1,0)</f>
        <v>#N/A</v>
      </c>
    </row>
    <row r="124" spans="1:9" x14ac:dyDescent="0.25">
      <c r="A124" s="3">
        <v>1003291</v>
      </c>
      <c r="B124" s="2" t="s">
        <v>167</v>
      </c>
      <c r="C124" s="3">
        <v>1003310</v>
      </c>
      <c r="D124" s="2" t="s">
        <v>167</v>
      </c>
      <c r="E124">
        <f>VLOOKUP(A:A,[1]Sheet1!$A:$A,1,0)</f>
        <v>1003291</v>
      </c>
      <c r="F124" s="5" t="e">
        <f>VLOOKUP(A:A,'[2]Final sheet'!$A$1:$A$65536,1,0)</f>
        <v>#N/A</v>
      </c>
      <c r="G124" t="str">
        <f>VLOOKUP(B:B,'[2]Final sheet'!$B$1:$B$65536,1,0)</f>
        <v>Alpha Bed charges</v>
      </c>
      <c r="H124" t="e">
        <f>VLOOKUP(C:C,'[2]Final sheet'!$D$1:$D$65536,1,0)</f>
        <v>#N/A</v>
      </c>
      <c r="I124" t="e">
        <f>VLOOKUP(D:D,'[2]Final sheet'!$D$1:$D$65536,1,0)</f>
        <v>#N/A</v>
      </c>
    </row>
    <row r="125" spans="1:9" x14ac:dyDescent="0.25">
      <c r="A125" s="3">
        <v>1003291</v>
      </c>
      <c r="B125" s="2" t="s">
        <v>167</v>
      </c>
      <c r="C125" s="3">
        <v>1003311</v>
      </c>
      <c r="D125" s="2" t="s">
        <v>168</v>
      </c>
      <c r="E125">
        <f>VLOOKUP(A:A,[1]Sheet1!$A:$A,1,0)</f>
        <v>1003291</v>
      </c>
      <c r="F125" s="5" t="e">
        <f>VLOOKUP(A:A,'[2]Final sheet'!$A$1:$A$65536,1,0)</f>
        <v>#N/A</v>
      </c>
      <c r="G125" t="str">
        <f>VLOOKUP(B:B,'[2]Final sheet'!$B$1:$B$65536,1,0)</f>
        <v>Alpha Bed charges</v>
      </c>
      <c r="H125" t="e">
        <f>VLOOKUP(C:C,'[2]Final sheet'!$D$1:$D$65536,1,0)</f>
        <v>#N/A</v>
      </c>
      <c r="I125" t="e">
        <f>VLOOKUP(D:D,'[2]Final sheet'!$D$1:$D$65536,1,0)</f>
        <v>#N/A</v>
      </c>
    </row>
    <row r="126" spans="1:9" x14ac:dyDescent="0.25">
      <c r="A126" s="3">
        <v>1003291</v>
      </c>
      <c r="B126" s="2" t="s">
        <v>167</v>
      </c>
      <c r="C126" s="3">
        <v>1003312</v>
      </c>
      <c r="D126" s="2" t="s">
        <v>169</v>
      </c>
      <c r="E126">
        <f>VLOOKUP(A:A,[1]Sheet1!$A:$A,1,0)</f>
        <v>1003291</v>
      </c>
      <c r="F126" s="5" t="e">
        <f>VLOOKUP(A:A,'[2]Final sheet'!$A$1:$A$65536,1,0)</f>
        <v>#N/A</v>
      </c>
      <c r="G126" t="str">
        <f>VLOOKUP(B:B,'[2]Final sheet'!$B$1:$B$65536,1,0)</f>
        <v>Alpha Bed charges</v>
      </c>
      <c r="H126" t="e">
        <f>VLOOKUP(C:C,'[2]Final sheet'!$D$1:$D$65536,1,0)</f>
        <v>#N/A</v>
      </c>
      <c r="I126" t="e">
        <f>VLOOKUP(D:D,'[2]Final sheet'!$D$1:$D$65536,1,0)</f>
        <v>#N/A</v>
      </c>
    </row>
    <row r="127" spans="1:9" x14ac:dyDescent="0.25">
      <c r="A127" s="3">
        <v>1003292</v>
      </c>
      <c r="B127" s="2" t="s">
        <v>170</v>
      </c>
      <c r="C127" s="3">
        <v>1003313</v>
      </c>
      <c r="D127" s="2" t="s">
        <v>171</v>
      </c>
      <c r="E127">
        <f>VLOOKUP(A:A,[1]Sheet1!$A:$A,1,0)</f>
        <v>1003292</v>
      </c>
      <c r="F127" s="5" t="e">
        <f>VLOOKUP(A:A,'[2]Final sheet'!$A$1:$A$65536,1,0)</f>
        <v>#N/A</v>
      </c>
      <c r="G127" t="str">
        <f>VLOOKUP(B:B,'[2]Final sheet'!$B$1:$B$65536,1,0)</f>
        <v>Assistant Doctor Charges</v>
      </c>
      <c r="H127" t="e">
        <f>VLOOKUP(C:C,'[2]Final sheet'!$D$1:$D$65536,1,0)</f>
        <v>#N/A</v>
      </c>
      <c r="I127" t="e">
        <f>VLOOKUP(D:D,'[2]Final sheet'!$D$1:$D$65536,1,0)</f>
        <v>#N/A</v>
      </c>
    </row>
    <row r="128" spans="1:9" x14ac:dyDescent="0.25">
      <c r="A128" s="3">
        <v>1003292</v>
      </c>
      <c r="B128" s="2" t="s">
        <v>170</v>
      </c>
      <c r="C128" s="3">
        <v>1003314</v>
      </c>
      <c r="D128" s="2" t="s">
        <v>12</v>
      </c>
      <c r="E128">
        <f>VLOOKUP(A:A,[1]Sheet1!$A:$A,1,0)</f>
        <v>1003292</v>
      </c>
      <c r="F128" s="5" t="e">
        <f>VLOOKUP(A:A,'[2]Final sheet'!$A$1:$A$65536,1,0)</f>
        <v>#N/A</v>
      </c>
      <c r="G128" t="str">
        <f>VLOOKUP(B:B,'[2]Final sheet'!$B$1:$B$65536,1,0)</f>
        <v>Assistant Doctor Charges</v>
      </c>
      <c r="H128" t="e">
        <f>VLOOKUP(C:C,'[2]Final sheet'!$D$1:$D$65536,1,0)</f>
        <v>#N/A</v>
      </c>
      <c r="I128" t="e">
        <f>VLOOKUP(D:D,'[2]Final sheet'!$D$1:$D$65536,1,0)</f>
        <v>#N/A</v>
      </c>
    </row>
    <row r="129" spans="1:9" x14ac:dyDescent="0.25">
      <c r="A129" s="3">
        <v>1003293</v>
      </c>
      <c r="B129" s="2" t="s">
        <v>172</v>
      </c>
      <c r="C129" s="3">
        <v>1003315</v>
      </c>
      <c r="D129" s="2" t="s">
        <v>173</v>
      </c>
      <c r="E129">
        <f>VLOOKUP(A:A,[1]Sheet1!$A:$A,1,0)</f>
        <v>1003293</v>
      </c>
      <c r="F129" s="5" t="e">
        <f>VLOOKUP(A:A,'[2]Final sheet'!$A$1:$A$65536,1,0)</f>
        <v>#N/A</v>
      </c>
      <c r="G129" t="e">
        <f>VLOOKUP(B:B,'[2]Final sheet'!$B$1:$B$65536,1,0)</f>
        <v>#N/A</v>
      </c>
      <c r="H129" t="e">
        <f>VLOOKUP(C:C,'[2]Final sheet'!$D$1:$D$65536,1,0)</f>
        <v>#N/A</v>
      </c>
      <c r="I129" t="e">
        <f>VLOOKUP(D:D,'[2]Final sheet'!$D$1:$D$65536,1,0)</f>
        <v>#N/A</v>
      </c>
    </row>
    <row r="130" spans="1:9" x14ac:dyDescent="0.25">
      <c r="A130" s="3">
        <v>1003293</v>
      </c>
      <c r="B130" s="2" t="s">
        <v>172</v>
      </c>
      <c r="C130" s="3">
        <v>1003316</v>
      </c>
      <c r="D130" s="2" t="s">
        <v>174</v>
      </c>
      <c r="E130">
        <f>VLOOKUP(A:A,[1]Sheet1!$A:$A,1,0)</f>
        <v>1003293</v>
      </c>
      <c r="F130" s="5" t="e">
        <f>VLOOKUP(A:A,'[2]Final sheet'!$A$1:$A$65536,1,0)</f>
        <v>#N/A</v>
      </c>
      <c r="G130" t="e">
        <f>VLOOKUP(B:B,'[2]Final sheet'!$B$1:$B$65536,1,0)</f>
        <v>#N/A</v>
      </c>
      <c r="H130" t="e">
        <f>VLOOKUP(C:C,'[2]Final sheet'!$D$1:$D$65536,1,0)</f>
        <v>#N/A</v>
      </c>
      <c r="I130" t="e">
        <f>VLOOKUP(D:D,'[2]Final sheet'!$D$1:$D$65536,1,0)</f>
        <v>#N/A</v>
      </c>
    </row>
    <row r="131" spans="1:9" x14ac:dyDescent="0.25">
      <c r="A131" s="3">
        <v>500534</v>
      </c>
      <c r="B131" s="2" t="s">
        <v>16</v>
      </c>
      <c r="C131" s="3">
        <v>1003317</v>
      </c>
      <c r="D131" s="2" t="s">
        <v>175</v>
      </c>
      <c r="E131">
        <f>VLOOKUP(A:A,[1]Sheet1!$A:$A,1,0)</f>
        <v>500534</v>
      </c>
      <c r="F131" s="5">
        <f>VLOOKUP(A:A,'[2]Final sheet'!$A$1:$A$65536,1,0)</f>
        <v>500534</v>
      </c>
      <c r="G131" t="str">
        <f>VLOOKUP(B:B,'[2]Final sheet'!$B$1:$B$65536,1,0)</f>
        <v>Consumable Charges</v>
      </c>
      <c r="H131" t="e">
        <f>VLOOKUP(C:C,'[2]Final sheet'!$D$1:$D$65536,1,0)</f>
        <v>#N/A</v>
      </c>
      <c r="I131" t="e">
        <f>VLOOKUP(D:D,'[2]Final sheet'!$D$1:$D$65536,1,0)</f>
        <v>#N/A</v>
      </c>
    </row>
    <row r="132" spans="1:9" x14ac:dyDescent="0.25">
      <c r="A132" s="3">
        <v>500534</v>
      </c>
      <c r="B132" s="2" t="s">
        <v>16</v>
      </c>
      <c r="C132" s="3">
        <v>1003318</v>
      </c>
      <c r="D132" s="2" t="s">
        <v>176</v>
      </c>
      <c r="E132">
        <f>VLOOKUP(A:A,[1]Sheet1!$A:$A,1,0)</f>
        <v>500534</v>
      </c>
      <c r="F132" s="5">
        <f>VLOOKUP(A:A,'[2]Final sheet'!$A$1:$A$65536,1,0)</f>
        <v>500534</v>
      </c>
      <c r="G132" t="str">
        <f>VLOOKUP(B:B,'[2]Final sheet'!$B$1:$B$65536,1,0)</f>
        <v>Consumable Charges</v>
      </c>
      <c r="H132" t="e">
        <f>VLOOKUP(C:C,'[2]Final sheet'!$D$1:$D$65536,1,0)</f>
        <v>#N/A</v>
      </c>
      <c r="I132" t="e">
        <f>VLOOKUP(D:D,'[2]Final sheet'!$D$1:$D$65536,1,0)</f>
        <v>#N/A</v>
      </c>
    </row>
    <row r="133" spans="1:9" x14ac:dyDescent="0.25">
      <c r="A133" s="3">
        <v>1003379</v>
      </c>
      <c r="B133" s="2" t="s">
        <v>177</v>
      </c>
      <c r="C133" s="3">
        <v>1003381</v>
      </c>
      <c r="D133" s="2" t="s">
        <v>177</v>
      </c>
      <c r="E133">
        <f>VLOOKUP(A:A,[1]Sheet1!$A:$A,1,0)</f>
        <v>1003379</v>
      </c>
      <c r="F133" s="5" t="e">
        <f>VLOOKUP(A:A,'[2]Final sheet'!$A$1:$A$65536,1,0)</f>
        <v>#N/A</v>
      </c>
      <c r="G133" t="str">
        <f>VLOOKUP(B:B,'[2]Final sheet'!$B$1:$B$65536,1,0)</f>
        <v>Out of Pre-Post</v>
      </c>
      <c r="H133" t="e">
        <f>VLOOKUP(C:C,'[2]Final sheet'!$D$1:$D$65536,1,0)</f>
        <v>#N/A</v>
      </c>
      <c r="I133" t="e">
        <f>VLOOKUP(D:D,'[2]Final sheet'!$D$1:$D$65536,1,0)</f>
        <v>#N/A</v>
      </c>
    </row>
    <row r="134" spans="1:9" x14ac:dyDescent="0.25">
      <c r="A134" s="3">
        <v>1003380</v>
      </c>
      <c r="B134" s="2" t="s">
        <v>178</v>
      </c>
      <c r="C134" s="3">
        <v>1003382</v>
      </c>
      <c r="D134" s="2" t="s">
        <v>178</v>
      </c>
      <c r="E134">
        <f>VLOOKUP(A:A,[1]Sheet1!$A:$A,1,0)</f>
        <v>1003380</v>
      </c>
      <c r="F134" s="5" t="e">
        <f>VLOOKUP(A:A,'[2]Final sheet'!$A$1:$A$65536,1,0)</f>
        <v>#N/A</v>
      </c>
      <c r="G134" t="str">
        <f>VLOOKUP(B:B,'[2]Final sheet'!$B$1:$B$65536,1,0)</f>
        <v>Pre-Post</v>
      </c>
      <c r="H134" t="e">
        <f>VLOOKUP(C:C,'[2]Final sheet'!$D$1:$D$65536,1,0)</f>
        <v>#N/A</v>
      </c>
      <c r="I134" t="e">
        <f>VLOOKUP(D:D,'[2]Final sheet'!$D$1:$D$65536,1,0)</f>
        <v>#N/A</v>
      </c>
    </row>
    <row r="135" spans="1:9" x14ac:dyDescent="0.25">
      <c r="A135" s="3">
        <v>500537</v>
      </c>
      <c r="B135" s="2" t="s">
        <v>179</v>
      </c>
      <c r="C135" s="3">
        <v>1003383</v>
      </c>
      <c r="D135" s="2" t="s">
        <v>179</v>
      </c>
      <c r="E135">
        <f>VLOOKUP(A:A,[1]Sheet1!$A:$A,1,0)</f>
        <v>500537</v>
      </c>
      <c r="F135" s="5">
        <f>VLOOKUP(A:A,'[2]Final sheet'!$A$1:$A$65536,1,0)</f>
        <v>500537</v>
      </c>
      <c r="G135" t="str">
        <f>VLOOKUP(B:B,'[2]Final sheet'!$B$1:$B$65536,1,0)</f>
        <v>Taxes</v>
      </c>
      <c r="H135" t="e">
        <f>VLOOKUP(C:C,'[2]Final sheet'!$D$1:$D$65536,1,0)</f>
        <v>#N/A</v>
      </c>
      <c r="I135" t="e">
        <f>VLOOKUP(D:D,'[2]Final sheet'!$D$1:$D$65536,1,0)</f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workbookViewId="0">
      <selection activeCell="K12" sqref="K12"/>
    </sheetView>
  </sheetViews>
  <sheetFormatPr defaultRowHeight="15" x14ac:dyDescent="0.25"/>
  <cols>
    <col min="1" max="1" width="19.7109375" style="16" bestFit="1" customWidth="1"/>
    <col min="2" max="2" width="36.42578125" style="16" bestFit="1" customWidth="1"/>
    <col min="3" max="3" width="39.7109375" style="16" bestFit="1" customWidth="1"/>
    <col min="4" max="4" width="19.7109375" style="16" bestFit="1" customWidth="1"/>
    <col min="5" max="5" width="13.85546875" style="7" hidden="1" customWidth="1"/>
    <col min="6" max="6" width="17.42578125" style="7" hidden="1" customWidth="1"/>
    <col min="7" max="7" width="16.140625" style="7" hidden="1" customWidth="1"/>
    <col min="8" max="8" width="14.28515625" style="7" hidden="1" customWidth="1"/>
    <col min="9" max="9" width="0" style="7" hidden="1" customWidth="1"/>
    <col min="10" max="16384" width="9.140625" style="7"/>
  </cols>
  <sheetData>
    <row r="1" spans="1:8" x14ac:dyDescent="0.25">
      <c r="A1" s="15" t="s">
        <v>185</v>
      </c>
      <c r="B1" s="15" t="s">
        <v>186</v>
      </c>
      <c r="C1" s="15" t="s">
        <v>187</v>
      </c>
      <c r="D1" s="15" t="s">
        <v>188</v>
      </c>
      <c r="E1" s="7" t="s">
        <v>257</v>
      </c>
      <c r="F1" s="7" t="s">
        <v>258</v>
      </c>
      <c r="G1" s="7" t="s">
        <v>259</v>
      </c>
      <c r="H1" s="7" t="s">
        <v>260</v>
      </c>
    </row>
    <row r="2" spans="1:8" x14ac:dyDescent="0.25">
      <c r="A2" s="12">
        <v>1011057</v>
      </c>
      <c r="B2" s="12" t="s">
        <v>167</v>
      </c>
      <c r="C2" s="12" t="s">
        <v>189</v>
      </c>
      <c r="D2" s="12">
        <v>1000751</v>
      </c>
      <c r="E2" s="7" t="e">
        <f>VLOOKUP(A:A,UAT!A:A,1,0)</f>
        <v>#N/A</v>
      </c>
      <c r="F2" s="7" t="str">
        <f>VLOOKUP(B:B,UAT!B:B,1,0)</f>
        <v>Alpha Bed charges</v>
      </c>
      <c r="G2" s="7" t="e">
        <f>VLOOKUP(D:D,UAT!C:C,1,0)</f>
        <v>#N/A</v>
      </c>
      <c r="H2" s="7" t="e">
        <f>VLOOKUP(C:C,UAT!D:D,1,0)</f>
        <v>#N/A</v>
      </c>
    </row>
    <row r="3" spans="1:8" x14ac:dyDescent="0.25">
      <c r="A3" s="12"/>
      <c r="B3" s="12"/>
      <c r="C3" s="12" t="s">
        <v>190</v>
      </c>
      <c r="D3" s="12">
        <v>1014398</v>
      </c>
      <c r="E3" s="7" t="e">
        <f>VLOOKUP(A:A,UAT!A:A,1,0)</f>
        <v>#N/A</v>
      </c>
      <c r="F3" s="7" t="e">
        <f>VLOOKUP(B:B,UAT!B:B,1,0)</f>
        <v>#N/A</v>
      </c>
      <c r="G3" s="7" t="e">
        <f>VLOOKUP(D:D,UAT!C:C,1,0)</f>
        <v>#N/A</v>
      </c>
      <c r="H3" s="7" t="e">
        <f>VLOOKUP(C:C,UAT!D:D,1,0)</f>
        <v>#N/A</v>
      </c>
    </row>
    <row r="4" spans="1:8" x14ac:dyDescent="0.25">
      <c r="A4" s="12"/>
      <c r="B4" s="12"/>
      <c r="C4" s="12" t="s">
        <v>191</v>
      </c>
      <c r="D4" s="12">
        <v>1011072</v>
      </c>
      <c r="E4" s="7" t="e">
        <f>VLOOKUP(A:A,UAT!A:A,1,0)</f>
        <v>#N/A</v>
      </c>
      <c r="F4" s="7" t="e">
        <f>VLOOKUP(B:B,UAT!B:B,1,0)</f>
        <v>#N/A</v>
      </c>
      <c r="G4" s="7" t="e">
        <f>VLOOKUP(D:D,UAT!C:C,1,0)</f>
        <v>#N/A</v>
      </c>
      <c r="H4" s="7" t="str">
        <f>VLOOKUP(C:C,UAT!D:D,1,0)</f>
        <v>Water Bed</v>
      </c>
    </row>
    <row r="5" spans="1:8" x14ac:dyDescent="0.25">
      <c r="A5" s="12"/>
      <c r="B5" s="12"/>
      <c r="C5" s="12" t="s">
        <v>192</v>
      </c>
      <c r="D5" s="12">
        <v>1014374</v>
      </c>
      <c r="E5" s="7" t="e">
        <f>VLOOKUP(A:A,UAT!A:A,1,0)</f>
        <v>#N/A</v>
      </c>
      <c r="F5" s="7" t="e">
        <f>VLOOKUP(B:B,UAT!B:B,1,0)</f>
        <v>#N/A</v>
      </c>
      <c r="G5" s="7" t="e">
        <f>VLOOKUP(D:D,UAT!C:C,1,0)</f>
        <v>#N/A</v>
      </c>
      <c r="H5" s="7" t="e">
        <f>VLOOKUP(C:C,UAT!D:D,1,0)</f>
        <v>#N/A</v>
      </c>
    </row>
    <row r="6" spans="1:8" x14ac:dyDescent="0.25">
      <c r="A6" s="12">
        <v>1011054</v>
      </c>
      <c r="B6" s="12" t="s">
        <v>165</v>
      </c>
      <c r="C6" s="12" t="s">
        <v>193</v>
      </c>
      <c r="D6" s="12">
        <v>1011068</v>
      </c>
      <c r="E6" s="7" t="e">
        <f>VLOOKUP(A:A,UAT!A:A,1,0)</f>
        <v>#N/A</v>
      </c>
      <c r="F6" s="7" t="str">
        <f>VLOOKUP(B:B,UAT!B:B,1,0)</f>
        <v>Ambulance Charges</v>
      </c>
      <c r="G6" s="7" t="e">
        <f>VLOOKUP(D:D,UAT!C:C,1,0)</f>
        <v>#N/A</v>
      </c>
      <c r="H6" s="7" t="str">
        <f>VLOOKUP(C:C,UAT!D:D,1,0)</f>
        <v>Ambulance Charges</v>
      </c>
    </row>
    <row r="7" spans="1:8" x14ac:dyDescent="0.25">
      <c r="A7" s="12">
        <v>500528</v>
      </c>
      <c r="B7" s="12" t="s">
        <v>10</v>
      </c>
      <c r="C7" s="12" t="s">
        <v>194</v>
      </c>
      <c r="D7" s="12">
        <v>706035</v>
      </c>
      <c r="E7" s="7">
        <f>VLOOKUP(A:A,UAT!A:A,1,0)</f>
        <v>500528</v>
      </c>
      <c r="F7" s="7" t="str">
        <f>VLOOKUP(B:B,UAT!B:B,1,0)</f>
        <v>Anesthetist Charges</v>
      </c>
      <c r="G7" s="7" t="e">
        <f>VLOOKUP(D:D,UAT!C:C,1,0)</f>
        <v>#N/A</v>
      </c>
      <c r="H7" s="7" t="str">
        <f>VLOOKUP(C:C,UAT!D:D,1,0)</f>
        <v>Anesthetist Charges</v>
      </c>
    </row>
    <row r="8" spans="1:8" x14ac:dyDescent="0.25">
      <c r="A8" s="12">
        <v>1011056</v>
      </c>
      <c r="B8" s="12" t="s">
        <v>166</v>
      </c>
      <c r="C8" s="12" t="s">
        <v>166</v>
      </c>
      <c r="D8" s="12">
        <v>1011684</v>
      </c>
      <c r="E8" s="7" t="e">
        <f>VLOOKUP(A:A,UAT!A:A,1,0)</f>
        <v>#N/A</v>
      </c>
      <c r="F8" s="7" t="str">
        <f>VLOOKUP(B:B,UAT!B:B,1,0)</f>
        <v>Anesthesia Charges</v>
      </c>
      <c r="G8" s="7" t="e">
        <f>VLOOKUP(D:D,UAT!C:C,1,0)</f>
        <v>#N/A</v>
      </c>
      <c r="H8" s="7" t="str">
        <f>VLOOKUP(C:C,UAT!D:D,1,0)</f>
        <v>Anesthesia Charges</v>
      </c>
    </row>
    <row r="9" spans="1:8" x14ac:dyDescent="0.25">
      <c r="A9" s="12">
        <v>705926</v>
      </c>
      <c r="B9" s="12" t="s">
        <v>171</v>
      </c>
      <c r="C9" s="12" t="s">
        <v>195</v>
      </c>
      <c r="D9" s="12">
        <v>1011676</v>
      </c>
      <c r="E9" s="7" t="e">
        <f>VLOOKUP(A:A,UAT!A:A,1,0)</f>
        <v>#N/A</v>
      </c>
      <c r="F9" s="7" t="e">
        <f>VLOOKUP(B:B,UAT!B:B,1,0)</f>
        <v>#N/A</v>
      </c>
      <c r="G9" s="7" t="e">
        <f>VLOOKUP(D:D,UAT!C:C,1,0)</f>
        <v>#N/A</v>
      </c>
      <c r="H9" s="7" t="str">
        <f>VLOOKUP(C:C,UAT!D:D,1,0)</f>
        <v>Assistant Charges</v>
      </c>
    </row>
    <row r="10" spans="1:8" x14ac:dyDescent="0.25">
      <c r="A10" s="12">
        <v>1011058</v>
      </c>
      <c r="B10" s="12" t="s">
        <v>170</v>
      </c>
      <c r="C10" s="12" t="s">
        <v>170</v>
      </c>
      <c r="D10" s="12">
        <v>1014375</v>
      </c>
      <c r="E10" s="7" t="e">
        <f>VLOOKUP(A:A,UAT!A:A,1,0)</f>
        <v>#N/A</v>
      </c>
      <c r="F10" s="7" t="str">
        <f>VLOOKUP(B:B,UAT!B:B,1,0)</f>
        <v>Assistant Doctor Charges</v>
      </c>
      <c r="G10" s="7" t="e">
        <f>VLOOKUP(D:D,UAT!C:C,1,0)</f>
        <v>#N/A</v>
      </c>
      <c r="H10" s="7" t="e">
        <f>VLOOKUP(C:C,UAT!D:D,1,0)</f>
        <v>#N/A</v>
      </c>
    </row>
    <row r="11" spans="1:8" x14ac:dyDescent="0.25">
      <c r="A11" s="12">
        <v>500531</v>
      </c>
      <c r="B11" s="12" t="s">
        <v>12</v>
      </c>
      <c r="C11" s="12" t="s">
        <v>12</v>
      </c>
      <c r="D11" s="12">
        <v>706037</v>
      </c>
      <c r="E11" s="7">
        <f>VLOOKUP(A:A,UAT!A:A,1,0)</f>
        <v>500531</v>
      </c>
      <c r="F11" s="7" t="str">
        <f>VLOOKUP(B:B,UAT!B:B,1,0)</f>
        <v>Assistant Surgeon Charges</v>
      </c>
      <c r="G11" s="7" t="e">
        <f>VLOOKUP(D:D,UAT!C:C,1,0)</f>
        <v>#N/A</v>
      </c>
      <c r="H11" s="7" t="str">
        <f>VLOOKUP(C:C,UAT!D:D,1,0)</f>
        <v>Assistant Surgeon Charges</v>
      </c>
    </row>
    <row r="12" spans="1:8" x14ac:dyDescent="0.25">
      <c r="A12" s="12">
        <v>500529</v>
      </c>
      <c r="B12" s="12" t="s">
        <v>196</v>
      </c>
      <c r="C12" s="12" t="s">
        <v>173</v>
      </c>
      <c r="D12" s="12">
        <v>1011073</v>
      </c>
      <c r="E12" s="7" t="e">
        <f>VLOOKUP(A:A,UAT!A:A,1,0)</f>
        <v>#N/A</v>
      </c>
      <c r="F12" s="7" t="e">
        <f>VLOOKUP(B:B,UAT!B:B,1,0)</f>
        <v>#N/A</v>
      </c>
      <c r="G12" s="7" t="e">
        <f>VLOOKUP(D:D,UAT!C:C,1,0)</f>
        <v>#N/A</v>
      </c>
      <c r="H12" s="7" t="str">
        <f>VLOOKUP(C:C,UAT!D:D,1,0)</f>
        <v>Consultation charges</v>
      </c>
    </row>
    <row r="13" spans="1:8" x14ac:dyDescent="0.25">
      <c r="A13" s="12"/>
      <c r="B13" s="12"/>
      <c r="C13" s="12" t="s">
        <v>197</v>
      </c>
      <c r="D13" s="12">
        <v>706043</v>
      </c>
      <c r="E13" s="7" t="e">
        <f>VLOOKUP(A:A,UAT!A:A,1,0)</f>
        <v>#N/A</v>
      </c>
      <c r="F13" s="7" t="e">
        <f>VLOOKUP(B:B,UAT!B:B,1,0)</f>
        <v>#N/A</v>
      </c>
      <c r="G13" s="7" t="e">
        <f>VLOOKUP(D:D,UAT!C:C,1,0)</f>
        <v>#N/A</v>
      </c>
      <c r="H13" s="7" t="e">
        <f>VLOOKUP(C:C,UAT!D:D,1,0)</f>
        <v>#N/A</v>
      </c>
    </row>
    <row r="14" spans="1:8" x14ac:dyDescent="0.25">
      <c r="A14" s="12">
        <v>500534</v>
      </c>
      <c r="B14" s="12" t="s">
        <v>16</v>
      </c>
      <c r="C14" s="12" t="s">
        <v>175</v>
      </c>
      <c r="D14" s="12">
        <v>1000775</v>
      </c>
      <c r="E14" s="7">
        <f>VLOOKUP(A:A,UAT!A:A,1,0)</f>
        <v>500534</v>
      </c>
      <c r="F14" s="7" t="str">
        <f>VLOOKUP(B:B,UAT!B:B,1,0)</f>
        <v>Consumable Charges</v>
      </c>
      <c r="G14" s="7" t="e">
        <f>VLOOKUP(D:D,UAT!C:C,1,0)</f>
        <v>#N/A</v>
      </c>
      <c r="H14" s="7" t="str">
        <f>VLOOKUP(C:C,UAT!D:D,1,0)</f>
        <v>Consumables</v>
      </c>
    </row>
    <row r="15" spans="1:8" x14ac:dyDescent="0.25">
      <c r="A15" s="12"/>
      <c r="B15" s="12"/>
      <c r="C15" s="12" t="s">
        <v>155</v>
      </c>
      <c r="D15" s="12">
        <v>1011077</v>
      </c>
      <c r="E15" s="7" t="e">
        <f>VLOOKUP(A:A,UAT!A:A,1,0)</f>
        <v>#N/A</v>
      </c>
      <c r="F15" s="7" t="e">
        <f>VLOOKUP(B:B,UAT!B:B,1,0)</f>
        <v>#N/A</v>
      </c>
      <c r="G15" s="7" t="e">
        <f>VLOOKUP(D:D,UAT!C:C,1,0)</f>
        <v>#N/A</v>
      </c>
      <c r="H15" s="7" t="str">
        <f>VLOOKUP(C:C,UAT!D:D,1,0)</f>
        <v>Disposables</v>
      </c>
    </row>
    <row r="16" spans="1:8" x14ac:dyDescent="0.25">
      <c r="A16" s="12"/>
      <c r="B16" s="12"/>
      <c r="C16" s="12" t="s">
        <v>154</v>
      </c>
      <c r="D16" s="12">
        <v>1011076</v>
      </c>
      <c r="E16" s="7" t="e">
        <f>VLOOKUP(A:A,UAT!A:A,1,0)</f>
        <v>#N/A</v>
      </c>
      <c r="F16" s="7" t="e">
        <f>VLOOKUP(B:B,UAT!B:B,1,0)</f>
        <v>#N/A</v>
      </c>
      <c r="G16" s="7" t="e">
        <f>VLOOKUP(D:D,UAT!C:C,1,0)</f>
        <v>#N/A</v>
      </c>
      <c r="H16" s="7" t="str">
        <f>VLOOKUP(C:C,UAT!D:D,1,0)</f>
        <v>Materials</v>
      </c>
    </row>
    <row r="17" spans="1:8" x14ac:dyDescent="0.25">
      <c r="A17" s="12"/>
      <c r="B17" s="12"/>
      <c r="C17" s="12" t="s">
        <v>199</v>
      </c>
      <c r="D17" s="12">
        <v>1000770</v>
      </c>
      <c r="E17" s="7" t="e">
        <f>VLOOKUP(A:A,UAT!A:A,1,0)</f>
        <v>#N/A</v>
      </c>
      <c r="F17" s="7" t="e">
        <f>VLOOKUP(B:B,UAT!B:B,1,0)</f>
        <v>#N/A</v>
      </c>
      <c r="G17" s="7" t="e">
        <f>VLOOKUP(D:D,UAT!C:C,1,0)</f>
        <v>#N/A</v>
      </c>
      <c r="H17" s="7" t="e">
        <f>VLOOKUP(C:C,UAT!D:D,1,0)</f>
        <v>#N/A</v>
      </c>
    </row>
    <row r="18" spans="1:8" x14ac:dyDescent="0.25">
      <c r="A18" s="12"/>
      <c r="B18" s="12"/>
      <c r="C18" s="12" t="s">
        <v>200</v>
      </c>
      <c r="D18" s="12">
        <v>1014363</v>
      </c>
      <c r="E18" s="7" t="e">
        <f>VLOOKUP(A:A,UAT!A:A,1,0)</f>
        <v>#N/A</v>
      </c>
      <c r="F18" s="7" t="e">
        <f>VLOOKUP(B:B,UAT!B:B,1,0)</f>
        <v>#N/A</v>
      </c>
      <c r="G18" s="7" t="e">
        <f>VLOOKUP(D:D,UAT!C:C,1,0)</f>
        <v>#N/A</v>
      </c>
      <c r="H18" s="7" t="e">
        <f>VLOOKUP(C:C,UAT!D:D,1,0)</f>
        <v>#N/A</v>
      </c>
    </row>
    <row r="19" spans="1:8" x14ac:dyDescent="0.25">
      <c r="A19" s="12"/>
      <c r="B19" s="12"/>
      <c r="C19" s="12" t="s">
        <v>201</v>
      </c>
      <c r="D19" s="12">
        <v>1000772</v>
      </c>
      <c r="E19" s="7" t="e">
        <f>VLOOKUP(A:A,UAT!A:A,1,0)</f>
        <v>#N/A</v>
      </c>
      <c r="F19" s="7" t="e">
        <f>VLOOKUP(B:B,UAT!B:B,1,0)</f>
        <v>#N/A</v>
      </c>
      <c r="G19" s="7" t="e">
        <f>VLOOKUP(D:D,UAT!C:C,1,0)</f>
        <v>#N/A</v>
      </c>
      <c r="H19" s="7" t="e">
        <f>VLOOKUP(C:C,UAT!D:D,1,0)</f>
        <v>#N/A</v>
      </c>
    </row>
    <row r="20" spans="1:8" x14ac:dyDescent="0.25">
      <c r="A20" s="12"/>
      <c r="B20" s="12"/>
      <c r="C20" s="12" t="s">
        <v>203</v>
      </c>
      <c r="D20" s="12">
        <v>1011075</v>
      </c>
      <c r="E20" s="7" t="e">
        <f>VLOOKUP(A:A,UAT!A:A,1,0)</f>
        <v>#N/A</v>
      </c>
      <c r="F20" s="7" t="e">
        <f>VLOOKUP(B:B,UAT!B:B,1,0)</f>
        <v>#N/A</v>
      </c>
      <c r="G20" s="7" t="e">
        <f>VLOOKUP(D:D,UAT!C:C,1,0)</f>
        <v>#N/A</v>
      </c>
      <c r="H20" s="7" t="str">
        <f>VLOOKUP(C:C,UAT!D:D,1,0)</f>
        <v>Oxygen Charges</v>
      </c>
    </row>
    <row r="21" spans="1:8" x14ac:dyDescent="0.25">
      <c r="A21" s="12"/>
      <c r="B21" s="12"/>
      <c r="C21" s="12" t="s">
        <v>204</v>
      </c>
      <c r="D21" s="12">
        <v>1014376</v>
      </c>
      <c r="E21" s="7" t="e">
        <f>VLOOKUP(A:A,UAT!A:A,1,0)</f>
        <v>#N/A</v>
      </c>
      <c r="F21" s="7" t="e">
        <f>VLOOKUP(B:B,UAT!B:B,1,0)</f>
        <v>#N/A</v>
      </c>
      <c r="G21" s="7" t="e">
        <f>VLOOKUP(D:D,UAT!C:C,1,0)</f>
        <v>#N/A</v>
      </c>
      <c r="H21" s="7" t="e">
        <f>VLOOKUP(C:C,UAT!D:D,1,0)</f>
        <v>#N/A</v>
      </c>
    </row>
    <row r="22" spans="1:8" x14ac:dyDescent="0.25">
      <c r="A22" s="12"/>
      <c r="B22" s="12"/>
      <c r="C22" s="12" t="s">
        <v>205</v>
      </c>
      <c r="D22" s="12">
        <v>1014377</v>
      </c>
      <c r="E22" s="7" t="e">
        <f>VLOOKUP(A:A,UAT!A:A,1,0)</f>
        <v>#N/A</v>
      </c>
      <c r="F22" s="7" t="e">
        <f>VLOOKUP(B:B,UAT!B:B,1,0)</f>
        <v>#N/A</v>
      </c>
      <c r="G22" s="7" t="e">
        <f>VLOOKUP(D:D,UAT!C:C,1,0)</f>
        <v>#N/A</v>
      </c>
      <c r="H22" s="7" t="e">
        <f>VLOOKUP(C:C,UAT!D:D,1,0)</f>
        <v>#N/A</v>
      </c>
    </row>
    <row r="23" spans="1:8" x14ac:dyDescent="0.25">
      <c r="A23" s="12"/>
      <c r="B23" s="12"/>
      <c r="C23" s="12" t="s">
        <v>206</v>
      </c>
      <c r="D23" s="12">
        <v>1014378</v>
      </c>
      <c r="E23" s="7" t="e">
        <f>VLOOKUP(A:A,UAT!A:A,1,0)</f>
        <v>#N/A</v>
      </c>
      <c r="F23" s="7" t="e">
        <f>VLOOKUP(B:B,UAT!B:B,1,0)</f>
        <v>#N/A</v>
      </c>
      <c r="G23" s="7" t="e">
        <f>VLOOKUP(D:D,UAT!C:C,1,0)</f>
        <v>#N/A</v>
      </c>
      <c r="H23" s="7" t="e">
        <f>VLOOKUP(C:C,UAT!D:D,1,0)</f>
        <v>#N/A</v>
      </c>
    </row>
    <row r="24" spans="1:8" x14ac:dyDescent="0.25">
      <c r="A24" s="12">
        <v>1011059</v>
      </c>
      <c r="B24" s="12" t="s">
        <v>152</v>
      </c>
      <c r="C24" s="12" t="s">
        <v>207</v>
      </c>
      <c r="D24" s="12">
        <v>1000778</v>
      </c>
      <c r="E24" s="7" t="e">
        <f>VLOOKUP(A:A,UAT!A:A,1,0)</f>
        <v>#N/A</v>
      </c>
      <c r="F24" s="7" t="e">
        <f>VLOOKUP(B:B,UAT!B:B,1,0)</f>
        <v>#N/A</v>
      </c>
      <c r="G24" s="7" t="e">
        <f>VLOOKUP(D:D,UAT!C:C,1,0)</f>
        <v>#N/A</v>
      </c>
      <c r="H24" s="7" t="e">
        <f>VLOOKUP(C:C,UAT!D:D,1,0)</f>
        <v>#N/A</v>
      </c>
    </row>
    <row r="25" spans="1:8" x14ac:dyDescent="0.25">
      <c r="A25" s="12"/>
      <c r="B25" s="12"/>
      <c r="C25" s="12" t="s">
        <v>208</v>
      </c>
      <c r="D25" s="12">
        <v>1000779</v>
      </c>
      <c r="E25" s="7" t="e">
        <f>VLOOKUP(A:A,UAT!A:A,1,0)</f>
        <v>#N/A</v>
      </c>
      <c r="F25" s="7" t="e">
        <f>VLOOKUP(B:B,UAT!B:B,1,0)</f>
        <v>#N/A</v>
      </c>
      <c r="G25" s="7" t="e">
        <f>VLOOKUP(D:D,UAT!C:C,1,0)</f>
        <v>#N/A</v>
      </c>
      <c r="H25" s="7" t="e">
        <f>VLOOKUP(C:C,UAT!D:D,1,0)</f>
        <v>#N/A</v>
      </c>
    </row>
    <row r="26" spans="1:8" x14ac:dyDescent="0.25">
      <c r="A26" s="12"/>
      <c r="B26" s="12"/>
      <c r="C26" s="12" t="s">
        <v>209</v>
      </c>
      <c r="D26" s="12">
        <v>1011079</v>
      </c>
      <c r="E26" s="7" t="e">
        <f>VLOOKUP(A:A,UAT!A:A,1,0)</f>
        <v>#N/A</v>
      </c>
      <c r="F26" s="7" t="e">
        <f>VLOOKUP(B:B,UAT!B:B,1,0)</f>
        <v>#N/A</v>
      </c>
      <c r="G26" s="7" t="e">
        <f>VLOOKUP(D:D,UAT!C:C,1,0)</f>
        <v>#N/A</v>
      </c>
      <c r="H26" s="7" t="e">
        <f>VLOOKUP(C:C,UAT!D:D,1,0)</f>
        <v>#N/A</v>
      </c>
    </row>
    <row r="27" spans="1:8" x14ac:dyDescent="0.25">
      <c r="A27" s="12"/>
      <c r="B27" s="12"/>
      <c r="C27" s="12" t="s">
        <v>210</v>
      </c>
      <c r="D27" s="12">
        <v>1014379</v>
      </c>
      <c r="E27" s="7" t="e">
        <f>VLOOKUP(A:A,UAT!A:A,1,0)</f>
        <v>#N/A</v>
      </c>
      <c r="F27" s="7" t="e">
        <f>VLOOKUP(B:B,UAT!B:B,1,0)</f>
        <v>#N/A</v>
      </c>
      <c r="G27" s="7" t="e">
        <f>VLOOKUP(D:D,UAT!C:C,1,0)</f>
        <v>#N/A</v>
      </c>
      <c r="H27" s="7" t="e">
        <f>VLOOKUP(C:C,UAT!D:D,1,0)</f>
        <v>#N/A</v>
      </c>
    </row>
    <row r="28" spans="1:8" x14ac:dyDescent="0.25">
      <c r="A28" s="12">
        <v>1000678</v>
      </c>
      <c r="B28" s="12" t="s">
        <v>211</v>
      </c>
      <c r="C28" s="12" t="s">
        <v>211</v>
      </c>
      <c r="D28" s="12">
        <v>1014380</v>
      </c>
      <c r="E28" s="7" t="e">
        <f>VLOOKUP(A:A,UAT!A:A,1,0)</f>
        <v>#N/A</v>
      </c>
      <c r="F28" s="7" t="e">
        <f>VLOOKUP(B:B,UAT!B:B,1,0)</f>
        <v>#N/A</v>
      </c>
      <c r="G28" s="7" t="e">
        <f>VLOOKUP(D:D,UAT!C:C,1,0)</f>
        <v>#N/A</v>
      </c>
      <c r="H28" s="7" t="e">
        <f>VLOOKUP(C:C,UAT!D:D,1,0)</f>
        <v>#N/A</v>
      </c>
    </row>
    <row r="29" spans="1:8" x14ac:dyDescent="0.25">
      <c r="A29" s="12">
        <v>705929</v>
      </c>
      <c r="B29" s="12" t="s">
        <v>159</v>
      </c>
      <c r="C29" s="12" t="s">
        <v>159</v>
      </c>
      <c r="D29" s="12">
        <v>706044</v>
      </c>
      <c r="E29" s="7" t="e">
        <f>VLOOKUP(A:A,UAT!A:A,1,0)</f>
        <v>#N/A</v>
      </c>
      <c r="F29" s="7" t="str">
        <f>VLOOKUP(B:B,UAT!B:B,1,0)</f>
        <v>Equipment charges</v>
      </c>
      <c r="G29" s="7" t="e">
        <f>VLOOKUP(D:D,UAT!C:C,1,0)</f>
        <v>#N/A</v>
      </c>
      <c r="H29" s="7" t="str">
        <f>VLOOKUP(C:C,UAT!D:D,1,0)</f>
        <v>Equipment charges</v>
      </c>
    </row>
    <row r="30" spans="1:8" x14ac:dyDescent="0.25">
      <c r="A30" s="12"/>
      <c r="B30" s="12"/>
      <c r="C30" s="12" t="s">
        <v>153</v>
      </c>
      <c r="D30" s="12">
        <v>1014360</v>
      </c>
      <c r="E30" s="7" t="e">
        <f>VLOOKUP(A:A,UAT!A:A,1,0)</f>
        <v>#N/A</v>
      </c>
      <c r="F30" s="7" t="e">
        <f>VLOOKUP(B:B,UAT!B:B,1,0)</f>
        <v>#N/A</v>
      </c>
      <c r="G30" s="7" t="e">
        <f>VLOOKUP(D:D,UAT!C:C,1,0)</f>
        <v>#N/A</v>
      </c>
      <c r="H30" s="7" t="str">
        <f>VLOOKUP(C:C,UAT!D:D,1,0)</f>
        <v>Infusion Pump Charges</v>
      </c>
    </row>
    <row r="31" spans="1:8" x14ac:dyDescent="0.25">
      <c r="A31" s="12"/>
      <c r="B31" s="12"/>
      <c r="C31" s="12" t="s">
        <v>25</v>
      </c>
      <c r="D31" s="12">
        <v>1000762</v>
      </c>
      <c r="E31" s="7" t="e">
        <f>VLOOKUP(A:A,UAT!A:A,1,0)</f>
        <v>#N/A</v>
      </c>
      <c r="F31" s="7" t="e">
        <f>VLOOKUP(B:B,UAT!B:B,1,0)</f>
        <v>#N/A</v>
      </c>
      <c r="G31" s="7" t="e">
        <f>VLOOKUP(D:D,UAT!C:C,1,0)</f>
        <v>#N/A</v>
      </c>
      <c r="H31" s="7" t="str">
        <f>VLOOKUP(C:C,UAT!D:D,1,0)</f>
        <v>Ventilator</v>
      </c>
    </row>
    <row r="32" spans="1:8" x14ac:dyDescent="0.25">
      <c r="A32" s="12"/>
      <c r="B32" s="12"/>
      <c r="C32" s="12" t="s">
        <v>212</v>
      </c>
      <c r="D32" s="12">
        <v>1000752</v>
      </c>
      <c r="E32" s="7" t="e">
        <f>VLOOKUP(A:A,UAT!A:A,1,0)</f>
        <v>#N/A</v>
      </c>
      <c r="F32" s="7" t="e">
        <f>VLOOKUP(B:B,UAT!B:B,1,0)</f>
        <v>#N/A</v>
      </c>
      <c r="G32" s="7" t="e">
        <f>VLOOKUP(D:D,UAT!C:C,1,0)</f>
        <v>#N/A</v>
      </c>
      <c r="H32" s="7" t="e">
        <f>VLOOKUP(C:C,UAT!D:D,1,0)</f>
        <v>#N/A</v>
      </c>
    </row>
    <row r="33" spans="1:8" x14ac:dyDescent="0.25">
      <c r="A33" s="12"/>
      <c r="B33" s="12"/>
      <c r="C33" s="12" t="s">
        <v>34</v>
      </c>
      <c r="D33" s="12">
        <v>1000768</v>
      </c>
      <c r="E33" s="7" t="e">
        <f>VLOOKUP(A:A,UAT!A:A,1,0)</f>
        <v>#N/A</v>
      </c>
      <c r="F33" s="7" t="e">
        <f>VLOOKUP(B:B,UAT!B:B,1,0)</f>
        <v>#N/A</v>
      </c>
      <c r="G33" s="7" t="e">
        <f>VLOOKUP(D:D,UAT!C:C,1,0)</f>
        <v>#N/A</v>
      </c>
      <c r="H33" s="7" t="str">
        <f>VLOOKUP(C:C,UAT!D:D,1,0)</f>
        <v>Laproscope</v>
      </c>
    </row>
    <row r="34" spans="1:8" x14ac:dyDescent="0.25">
      <c r="A34" s="12"/>
      <c r="B34" s="12"/>
      <c r="C34" s="12" t="s">
        <v>213</v>
      </c>
      <c r="D34" s="12">
        <v>1000760</v>
      </c>
      <c r="E34" s="7" t="e">
        <f>VLOOKUP(A:A,UAT!A:A,1,0)</f>
        <v>#N/A</v>
      </c>
      <c r="F34" s="7" t="e">
        <f>VLOOKUP(B:B,UAT!B:B,1,0)</f>
        <v>#N/A</v>
      </c>
      <c r="G34" s="7" t="e">
        <f>VLOOKUP(D:D,UAT!C:C,1,0)</f>
        <v>#N/A</v>
      </c>
      <c r="H34" s="7" t="e">
        <f>VLOOKUP(C:C,UAT!D:D,1,0)</f>
        <v>#N/A</v>
      </c>
    </row>
    <row r="35" spans="1:8" x14ac:dyDescent="0.25">
      <c r="A35" s="12">
        <v>1000861</v>
      </c>
      <c r="B35" s="12" t="s">
        <v>214</v>
      </c>
      <c r="C35" s="12" t="s">
        <v>214</v>
      </c>
      <c r="D35" s="12">
        <v>1014381</v>
      </c>
      <c r="E35" s="7" t="e">
        <f>VLOOKUP(A:A,UAT!A:A,1,0)</f>
        <v>#N/A</v>
      </c>
      <c r="F35" s="7" t="e">
        <f>VLOOKUP(B:B,UAT!B:B,1,0)</f>
        <v>#N/A</v>
      </c>
      <c r="G35" s="7" t="e">
        <f>VLOOKUP(D:D,UAT!C:C,1,0)</f>
        <v>#N/A</v>
      </c>
      <c r="H35" s="7" t="e">
        <f>VLOOKUP(C:C,UAT!D:D,1,0)</f>
        <v>#N/A</v>
      </c>
    </row>
    <row r="36" spans="1:8" x14ac:dyDescent="0.25">
      <c r="A36" s="12">
        <v>705568</v>
      </c>
      <c r="B36" s="12" t="s">
        <v>160</v>
      </c>
      <c r="C36" s="12" t="s">
        <v>160</v>
      </c>
      <c r="D36" s="12">
        <v>706045</v>
      </c>
      <c r="E36" s="7" t="e">
        <f>VLOOKUP(A:A,UAT!A:A,1,0)</f>
        <v>#N/A</v>
      </c>
      <c r="F36" s="7" t="str">
        <f>VLOOKUP(B:B,UAT!B:B,1,0)</f>
        <v>Hospital Daily Cash</v>
      </c>
      <c r="G36" s="7" t="e">
        <f>VLOOKUP(D:D,UAT!C:C,1,0)</f>
        <v>#N/A</v>
      </c>
      <c r="H36" s="7" t="str">
        <f>VLOOKUP(C:C,UAT!D:D,1,0)</f>
        <v>Hospital Daily Cash</v>
      </c>
    </row>
    <row r="37" spans="1:8" x14ac:dyDescent="0.25">
      <c r="A37" s="12">
        <v>1000740</v>
      </c>
      <c r="B37" s="12" t="s">
        <v>215</v>
      </c>
      <c r="C37" s="12" t="s">
        <v>216</v>
      </c>
      <c r="D37" s="12">
        <v>1011046</v>
      </c>
      <c r="E37" s="7" t="e">
        <f>VLOOKUP(A:A,UAT!A:A,1,0)</f>
        <v>#N/A</v>
      </c>
      <c r="F37" s="7" t="e">
        <f>VLOOKUP(B:B,UAT!B:B,1,0)</f>
        <v>#N/A</v>
      </c>
      <c r="G37" s="7" t="e">
        <f>VLOOKUP(D:D,UAT!C:C,1,0)</f>
        <v>#N/A</v>
      </c>
      <c r="H37" s="7" t="e">
        <f>VLOOKUP(C:C,UAT!D:D,1,0)</f>
        <v>#N/A</v>
      </c>
    </row>
    <row r="38" spans="1:8" x14ac:dyDescent="0.25">
      <c r="A38" s="12"/>
      <c r="B38" s="12"/>
      <c r="C38" s="12" t="s">
        <v>217</v>
      </c>
      <c r="D38" s="12">
        <v>1014382</v>
      </c>
      <c r="E38" s="7" t="e">
        <f>VLOOKUP(A:A,UAT!A:A,1,0)</f>
        <v>#N/A</v>
      </c>
      <c r="F38" s="7" t="e">
        <f>VLOOKUP(B:B,UAT!B:B,1,0)</f>
        <v>#N/A</v>
      </c>
      <c r="G38" s="7" t="e">
        <f>VLOOKUP(D:D,UAT!C:C,1,0)</f>
        <v>#N/A</v>
      </c>
      <c r="H38" s="7" t="e">
        <f>VLOOKUP(C:C,UAT!D:D,1,0)</f>
        <v>#N/A</v>
      </c>
    </row>
    <row r="39" spans="1:8" x14ac:dyDescent="0.25">
      <c r="A39" s="12"/>
      <c r="B39" s="12"/>
      <c r="C39" s="12" t="s">
        <v>218</v>
      </c>
      <c r="D39" s="12">
        <v>1014383</v>
      </c>
      <c r="E39" s="7" t="e">
        <f>VLOOKUP(A:A,UAT!A:A,1,0)</f>
        <v>#N/A</v>
      </c>
      <c r="F39" s="7" t="e">
        <f>VLOOKUP(B:B,UAT!B:B,1,0)</f>
        <v>#N/A</v>
      </c>
      <c r="G39" s="7" t="e">
        <f>VLOOKUP(D:D,UAT!C:C,1,0)</f>
        <v>#N/A</v>
      </c>
      <c r="H39" s="7" t="e">
        <f>VLOOKUP(C:C,UAT!D:D,1,0)</f>
        <v>#N/A</v>
      </c>
    </row>
    <row r="40" spans="1:8" x14ac:dyDescent="0.25">
      <c r="A40" s="12"/>
      <c r="B40" s="12"/>
      <c r="C40" s="12" t="s">
        <v>219</v>
      </c>
      <c r="D40" s="12">
        <v>1014384</v>
      </c>
      <c r="E40" s="7" t="e">
        <f>VLOOKUP(A:A,UAT!A:A,1,0)</f>
        <v>#N/A</v>
      </c>
      <c r="F40" s="7" t="e">
        <f>VLOOKUP(B:B,UAT!B:B,1,0)</f>
        <v>#N/A</v>
      </c>
      <c r="G40" s="7" t="e">
        <f>VLOOKUP(D:D,UAT!C:C,1,0)</f>
        <v>#N/A</v>
      </c>
      <c r="H40" s="7" t="e">
        <f>VLOOKUP(C:C,UAT!D:D,1,0)</f>
        <v>#N/A</v>
      </c>
    </row>
    <row r="41" spans="1:8" x14ac:dyDescent="0.25">
      <c r="A41" s="12"/>
      <c r="B41" s="12"/>
      <c r="C41" s="12" t="s">
        <v>220</v>
      </c>
      <c r="D41" s="12">
        <v>1014385</v>
      </c>
      <c r="E41" s="7" t="e">
        <f>VLOOKUP(A:A,UAT!A:A,1,0)</f>
        <v>#N/A</v>
      </c>
      <c r="F41" s="7" t="e">
        <f>VLOOKUP(B:B,UAT!B:B,1,0)</f>
        <v>#N/A</v>
      </c>
      <c r="G41" s="7" t="e">
        <f>VLOOKUP(D:D,UAT!C:C,1,0)</f>
        <v>#N/A</v>
      </c>
      <c r="H41" s="7" t="e">
        <f>VLOOKUP(C:C,UAT!D:D,1,0)</f>
        <v>#N/A</v>
      </c>
    </row>
    <row r="42" spans="1:8" x14ac:dyDescent="0.25">
      <c r="A42" s="12">
        <v>500535</v>
      </c>
      <c r="B42" s="12" t="s">
        <v>19</v>
      </c>
      <c r="C42" s="12" t="s">
        <v>221</v>
      </c>
      <c r="D42" s="12">
        <v>1014386</v>
      </c>
      <c r="E42" s="7">
        <f>VLOOKUP(A:A,UAT!A:A,1,0)</f>
        <v>500535</v>
      </c>
      <c r="F42" s="7" t="str">
        <f>VLOOKUP(B:B,UAT!B:B,1,0)</f>
        <v>Investigation Charges</v>
      </c>
      <c r="G42" s="7" t="e">
        <f>VLOOKUP(D:D,UAT!C:C,1,0)</f>
        <v>#N/A</v>
      </c>
      <c r="H42" s="7" t="e">
        <f>VLOOKUP(C:C,UAT!D:D,1,0)</f>
        <v>#N/A</v>
      </c>
    </row>
    <row r="43" spans="1:8" x14ac:dyDescent="0.25">
      <c r="A43" s="12">
        <v>500533</v>
      </c>
      <c r="B43" s="13" t="s">
        <v>222</v>
      </c>
      <c r="C43" s="12" t="s">
        <v>222</v>
      </c>
      <c r="D43" s="12">
        <v>706048</v>
      </c>
      <c r="E43" s="7" t="e">
        <f>VLOOKUP(A:A,UAT!A:A,1,0)</f>
        <v>#N/A</v>
      </c>
      <c r="F43" s="7" t="e">
        <f>VLOOKUP(B:B,UAT!B:B,1,0)</f>
        <v>#N/A</v>
      </c>
      <c r="G43" s="7" t="e">
        <f>VLOOKUP(D:D,UAT!C:C,1,0)</f>
        <v>#N/A</v>
      </c>
      <c r="H43" s="7" t="e">
        <f>VLOOKUP(C:C,UAT!D:D,1,0)</f>
        <v>#N/A</v>
      </c>
    </row>
    <row r="44" spans="1:8" x14ac:dyDescent="0.25">
      <c r="A44" s="12"/>
      <c r="B44" s="13"/>
      <c r="C44" s="12" t="s">
        <v>202</v>
      </c>
      <c r="D44" s="12">
        <v>1000769</v>
      </c>
      <c r="E44" s="7" t="e">
        <f>VLOOKUP(A:A,UAT!A:A,1,0)</f>
        <v>#N/A</v>
      </c>
      <c r="F44" s="7" t="e">
        <f>VLOOKUP(B:B,UAT!B:B,1,0)</f>
        <v>#N/A</v>
      </c>
      <c r="G44" s="7" t="e">
        <f>VLOOKUP(D:D,UAT!C:C,1,0)</f>
        <v>#N/A</v>
      </c>
      <c r="H44" s="7" t="e">
        <f>VLOOKUP(C:C,UAT!D:D,1,0)</f>
        <v>#N/A</v>
      </c>
    </row>
    <row r="45" spans="1:8" x14ac:dyDescent="0.25">
      <c r="A45" s="12"/>
      <c r="B45" s="12"/>
      <c r="C45" s="12" t="s">
        <v>223</v>
      </c>
      <c r="D45" s="12">
        <v>706034</v>
      </c>
      <c r="E45" s="7" t="e">
        <f>VLOOKUP(A:A,UAT!A:A,1,0)</f>
        <v>#N/A</v>
      </c>
      <c r="F45" s="7" t="e">
        <f>VLOOKUP(B:B,UAT!B:B,1,0)</f>
        <v>#N/A</v>
      </c>
      <c r="G45" s="7" t="e">
        <f>VLOOKUP(D:D,UAT!C:C,1,0)</f>
        <v>#N/A</v>
      </c>
      <c r="H45" s="7" t="e">
        <f>VLOOKUP(C:C,UAT!D:D,1,0)</f>
        <v>#N/A</v>
      </c>
    </row>
    <row r="46" spans="1:8" x14ac:dyDescent="0.25">
      <c r="A46" s="12">
        <v>1000744</v>
      </c>
      <c r="B46" s="12" t="s">
        <v>131</v>
      </c>
      <c r="C46" s="12" t="s">
        <v>131</v>
      </c>
      <c r="D46" s="12">
        <v>1011084</v>
      </c>
      <c r="E46" s="7" t="e">
        <f>VLOOKUP(A:A,UAT!A:A,1,0)</f>
        <v>#N/A</v>
      </c>
      <c r="F46" s="7" t="str">
        <f>VLOOKUP(B:B,UAT!B:B,1,0)</f>
        <v>Miscellaneous Charges</v>
      </c>
      <c r="G46" s="7" t="e">
        <f>VLOOKUP(D:D,UAT!C:C,1,0)</f>
        <v>#N/A</v>
      </c>
      <c r="H46" s="7" t="str">
        <f>VLOOKUP(C:C,UAT!D:D,1,0)</f>
        <v>Miscellaneous Charges</v>
      </c>
    </row>
    <row r="47" spans="1:8" x14ac:dyDescent="0.25">
      <c r="A47" s="12"/>
      <c r="B47" s="12"/>
      <c r="C47" s="12" t="s">
        <v>224</v>
      </c>
      <c r="D47" s="12">
        <v>1014387</v>
      </c>
      <c r="E47" s="7" t="e">
        <f>VLOOKUP(A:A,UAT!A:A,1,0)</f>
        <v>#N/A</v>
      </c>
      <c r="F47" s="7" t="e">
        <f>VLOOKUP(B:B,UAT!B:B,1,0)</f>
        <v>#N/A</v>
      </c>
      <c r="G47" s="7" t="e">
        <f>VLOOKUP(D:D,UAT!C:C,1,0)</f>
        <v>#N/A</v>
      </c>
      <c r="H47" s="7" t="e">
        <f>VLOOKUP(C:C,UAT!D:D,1,0)</f>
        <v>#N/A</v>
      </c>
    </row>
    <row r="48" spans="1:8" x14ac:dyDescent="0.25">
      <c r="A48" s="12">
        <v>500532</v>
      </c>
      <c r="B48" s="12" t="s">
        <v>225</v>
      </c>
      <c r="C48" s="12" t="s">
        <v>226</v>
      </c>
      <c r="D48" s="12">
        <v>1014403</v>
      </c>
      <c r="E48" s="7" t="e">
        <f>VLOOKUP(A:A,UAT!A:A,1,0)</f>
        <v>#N/A</v>
      </c>
      <c r="F48" s="7" t="e">
        <f>VLOOKUP(B:B,UAT!B:B,1,0)</f>
        <v>#N/A</v>
      </c>
      <c r="G48" s="7" t="e">
        <f>VLOOKUP(D:D,UAT!C:C,1,0)</f>
        <v>#N/A</v>
      </c>
      <c r="H48" s="7" t="e">
        <f>VLOOKUP(C:C,UAT!D:D,1,0)</f>
        <v>#N/A</v>
      </c>
    </row>
    <row r="49" spans="1:8" x14ac:dyDescent="0.25">
      <c r="A49" s="12">
        <v>1000677</v>
      </c>
      <c r="B49" s="12" t="s">
        <v>227</v>
      </c>
      <c r="C49" s="12" t="s">
        <v>227</v>
      </c>
      <c r="D49" s="12">
        <v>1014388</v>
      </c>
      <c r="E49" s="7" t="e">
        <f>VLOOKUP(A:A,UAT!A:A,1,0)</f>
        <v>#N/A</v>
      </c>
      <c r="F49" s="7" t="e">
        <f>VLOOKUP(B:B,UAT!B:B,1,0)</f>
        <v>#N/A</v>
      </c>
      <c r="G49" s="7" t="e">
        <f>VLOOKUP(D:D,UAT!C:C,1,0)</f>
        <v>#N/A</v>
      </c>
      <c r="H49" s="7" t="e">
        <f>VLOOKUP(C:C,UAT!D:D,1,0)</f>
        <v>#N/A</v>
      </c>
    </row>
    <row r="50" spans="1:8" x14ac:dyDescent="0.25">
      <c r="A50" s="12">
        <v>500539</v>
      </c>
      <c r="B50" s="12" t="s">
        <v>140</v>
      </c>
      <c r="C50" s="12" t="s">
        <v>140</v>
      </c>
      <c r="D50" s="12">
        <v>1011541</v>
      </c>
      <c r="E50" s="7" t="e">
        <f>VLOOKUP(A:A,UAT!A:A,1,0)</f>
        <v>#N/A</v>
      </c>
      <c r="F50" s="7" t="e">
        <f>VLOOKUP(B:B,UAT!B:B,1,0)</f>
        <v>#N/A</v>
      </c>
      <c r="G50" s="7" t="e">
        <f>VLOOKUP(D:D,UAT!C:C,1,0)</f>
        <v>#N/A</v>
      </c>
      <c r="H50" s="7" t="str">
        <f>VLOOKUP(C:C,UAT!D:D,1,0)</f>
        <v>Operation Theatre Charges</v>
      </c>
    </row>
    <row r="51" spans="1:8" x14ac:dyDescent="0.25">
      <c r="A51" s="12"/>
      <c r="B51" s="12"/>
      <c r="C51" s="12" t="s">
        <v>228</v>
      </c>
      <c r="D51" s="12">
        <v>1000766</v>
      </c>
      <c r="E51" s="7" t="e">
        <f>VLOOKUP(A:A,UAT!A:A,1,0)</f>
        <v>#N/A</v>
      </c>
      <c r="F51" s="7" t="e">
        <f>VLOOKUP(B:B,UAT!B:B,1,0)</f>
        <v>#N/A</v>
      </c>
      <c r="G51" s="7" t="e">
        <f>VLOOKUP(D:D,UAT!C:C,1,0)</f>
        <v>#N/A</v>
      </c>
      <c r="H51" s="7" t="e">
        <f>VLOOKUP(C:C,UAT!D:D,1,0)</f>
        <v>#N/A</v>
      </c>
    </row>
    <row r="52" spans="1:8" x14ac:dyDescent="0.25">
      <c r="A52" s="12"/>
      <c r="B52" s="12"/>
      <c r="C52" s="12" t="s">
        <v>229</v>
      </c>
      <c r="D52" s="12">
        <v>1014389</v>
      </c>
      <c r="E52" s="7" t="e">
        <f>VLOOKUP(A:A,UAT!A:A,1,0)</f>
        <v>#N/A</v>
      </c>
      <c r="F52" s="7" t="e">
        <f>VLOOKUP(B:B,UAT!B:B,1,0)</f>
        <v>#N/A</v>
      </c>
      <c r="G52" s="7" t="e">
        <f>VLOOKUP(D:D,UAT!C:C,1,0)</f>
        <v>#N/A</v>
      </c>
      <c r="H52" s="7" t="e">
        <f>VLOOKUP(C:C,UAT!D:D,1,0)</f>
        <v>#N/A</v>
      </c>
    </row>
    <row r="53" spans="1:8" x14ac:dyDescent="0.25">
      <c r="A53" s="16" t="s">
        <v>255</v>
      </c>
      <c r="B53" s="16" t="s">
        <v>252</v>
      </c>
      <c r="C53" s="16" t="s">
        <v>252</v>
      </c>
      <c r="D53" s="16" t="s">
        <v>256</v>
      </c>
      <c r="E53" s="7" t="e">
        <f>VLOOKUP(A:A,UAT!A:A,1,0)</f>
        <v>#N/A</v>
      </c>
      <c r="F53" s="7" t="e">
        <f>VLOOKUP(B:B,UAT!B:B,1,0)</f>
        <v>#N/A</v>
      </c>
      <c r="G53" s="7" t="e">
        <f>VLOOKUP(D:D,UAT!C:C,1,0)</f>
        <v>#N/A</v>
      </c>
      <c r="H53" s="7" t="e">
        <f>VLOOKUP(C:C,UAT!D:D,1,0)</f>
        <v>#N/A</v>
      </c>
    </row>
    <row r="54" spans="1:8" x14ac:dyDescent="0.25">
      <c r="C54" s="12" t="s">
        <v>198</v>
      </c>
      <c r="D54" s="12">
        <v>1011074</v>
      </c>
      <c r="E54" s="7" t="e">
        <f>VLOOKUP(A:A,UAT!A:A,1,0)</f>
        <v>#N/A</v>
      </c>
      <c r="F54" s="7" t="e">
        <f>VLOOKUP(B:B,UAT!B:B,1,0)</f>
        <v>#N/A</v>
      </c>
      <c r="G54" s="7" t="e">
        <f>VLOOKUP(D:D,UAT!C:C,1,0)</f>
        <v>#N/A</v>
      </c>
      <c r="H54" s="7" t="e">
        <f>VLOOKUP(C:C,UAT!D:D,1,0)</f>
        <v>#N/A</v>
      </c>
    </row>
    <row r="55" spans="1:8" x14ac:dyDescent="0.25">
      <c r="A55" s="12"/>
      <c r="B55" s="12"/>
      <c r="C55" s="12" t="s">
        <v>130</v>
      </c>
      <c r="D55" s="12">
        <v>1011675</v>
      </c>
      <c r="E55" s="7" t="e">
        <f>VLOOKUP(A:A,UAT!A:A,1,0)</f>
        <v>#N/A</v>
      </c>
      <c r="F55" s="7" t="e">
        <f>VLOOKUP(B:B,UAT!B:B,1,0)</f>
        <v>#N/A</v>
      </c>
      <c r="G55" s="7" t="e">
        <f>VLOOKUP(D:D,UAT!C:C,1,0)</f>
        <v>#N/A</v>
      </c>
      <c r="H55" s="7" t="str">
        <f>VLOOKUP(C:C,UAT!D:D,1,0)</f>
        <v>No Bills</v>
      </c>
    </row>
    <row r="56" spans="1:8" x14ac:dyDescent="0.25">
      <c r="A56" s="12"/>
      <c r="B56" s="12"/>
      <c r="C56" s="12" t="s">
        <v>230</v>
      </c>
      <c r="D56" s="12">
        <v>1000787</v>
      </c>
      <c r="E56" s="7" t="e">
        <f>VLOOKUP(A:A,UAT!A:A,1,0)</f>
        <v>#N/A</v>
      </c>
      <c r="F56" s="7" t="e">
        <f>VLOOKUP(B:B,UAT!B:B,1,0)</f>
        <v>#N/A</v>
      </c>
      <c r="G56" s="7" t="e">
        <f>VLOOKUP(D:D,UAT!C:C,1,0)</f>
        <v>#N/A</v>
      </c>
      <c r="H56" s="7" t="e">
        <f>VLOOKUP(C:C,UAT!D:D,1,0)</f>
        <v>#N/A</v>
      </c>
    </row>
    <row r="57" spans="1:8" x14ac:dyDescent="0.25">
      <c r="A57" s="12"/>
      <c r="B57" s="12"/>
      <c r="C57" s="12" t="s">
        <v>231</v>
      </c>
      <c r="D57" s="12">
        <v>1000791</v>
      </c>
      <c r="E57" s="7" t="e">
        <f>VLOOKUP(A:A,UAT!A:A,1,0)</f>
        <v>#N/A</v>
      </c>
      <c r="F57" s="7" t="e">
        <f>VLOOKUP(B:B,UAT!B:B,1,0)</f>
        <v>#N/A</v>
      </c>
      <c r="G57" s="7" t="e">
        <f>VLOOKUP(D:D,UAT!C:C,1,0)</f>
        <v>#N/A</v>
      </c>
      <c r="H57" s="7" t="e">
        <f>VLOOKUP(C:C,UAT!D:D,1,0)</f>
        <v>#N/A</v>
      </c>
    </row>
    <row r="58" spans="1:8" x14ac:dyDescent="0.25">
      <c r="A58" s="12"/>
      <c r="B58" s="12"/>
      <c r="C58" s="12" t="s">
        <v>232</v>
      </c>
      <c r="D58" s="12">
        <v>1000790</v>
      </c>
      <c r="E58" s="7" t="e">
        <f>VLOOKUP(A:A,UAT!A:A,1,0)</f>
        <v>#N/A</v>
      </c>
      <c r="F58" s="7" t="e">
        <f>VLOOKUP(B:B,UAT!B:B,1,0)</f>
        <v>#N/A</v>
      </c>
      <c r="G58" s="7" t="e">
        <f>VLOOKUP(D:D,UAT!C:C,1,0)</f>
        <v>#N/A</v>
      </c>
      <c r="H58" s="7" t="e">
        <f>VLOOKUP(C:C,UAT!D:D,1,0)</f>
        <v>#N/A</v>
      </c>
    </row>
    <row r="59" spans="1:8" x14ac:dyDescent="0.25">
      <c r="A59" s="12"/>
      <c r="B59" s="12"/>
      <c r="C59" s="12" t="s">
        <v>233</v>
      </c>
      <c r="D59" s="12">
        <v>1014390</v>
      </c>
      <c r="E59" s="7" t="e">
        <f>VLOOKUP(A:A,UAT!A:A,1,0)</f>
        <v>#N/A</v>
      </c>
      <c r="F59" s="7" t="e">
        <f>VLOOKUP(B:B,UAT!B:B,1,0)</f>
        <v>#N/A</v>
      </c>
      <c r="G59" s="7" t="e">
        <f>VLOOKUP(D:D,UAT!C:C,1,0)</f>
        <v>#N/A</v>
      </c>
      <c r="H59" s="7" t="e">
        <f>VLOOKUP(C:C,UAT!D:D,1,0)</f>
        <v>#N/A</v>
      </c>
    </row>
    <row r="60" spans="1:8" x14ac:dyDescent="0.25">
      <c r="A60" s="12"/>
      <c r="B60" s="12"/>
      <c r="C60" s="12" t="s">
        <v>234</v>
      </c>
      <c r="D60" s="12">
        <v>1000792</v>
      </c>
      <c r="E60" s="7" t="e">
        <f>VLOOKUP(A:A,UAT!A:A,1,0)</f>
        <v>#N/A</v>
      </c>
      <c r="F60" s="7" t="e">
        <f>VLOOKUP(B:B,UAT!B:B,1,0)</f>
        <v>#N/A</v>
      </c>
      <c r="G60" s="7" t="e">
        <f>VLOOKUP(D:D,UAT!C:C,1,0)</f>
        <v>#N/A</v>
      </c>
      <c r="H60" s="7" t="e">
        <f>VLOOKUP(C:C,UAT!D:D,1,0)</f>
        <v>#N/A</v>
      </c>
    </row>
    <row r="61" spans="1:8" x14ac:dyDescent="0.25">
      <c r="A61" s="12"/>
      <c r="B61" s="12"/>
      <c r="C61" s="12" t="s">
        <v>235</v>
      </c>
      <c r="D61" s="12">
        <v>1000788</v>
      </c>
      <c r="E61" s="7" t="e">
        <f>VLOOKUP(A:A,UAT!A:A,1,0)</f>
        <v>#N/A</v>
      </c>
      <c r="F61" s="7" t="e">
        <f>VLOOKUP(B:B,UAT!B:B,1,0)</f>
        <v>#N/A</v>
      </c>
      <c r="G61" s="7" t="e">
        <f>VLOOKUP(D:D,UAT!C:C,1,0)</f>
        <v>#N/A</v>
      </c>
      <c r="H61" s="7" t="e">
        <f>VLOOKUP(C:C,UAT!D:D,1,0)</f>
        <v>#N/A</v>
      </c>
    </row>
    <row r="62" spans="1:8" x14ac:dyDescent="0.25">
      <c r="A62" s="12"/>
      <c r="B62" s="12"/>
      <c r="C62" s="12" t="s">
        <v>236</v>
      </c>
      <c r="D62" s="12">
        <v>1014391</v>
      </c>
      <c r="E62" s="7" t="e">
        <f>VLOOKUP(A:A,UAT!A:A,1,0)</f>
        <v>#N/A</v>
      </c>
      <c r="F62" s="7" t="e">
        <f>VLOOKUP(B:B,UAT!B:B,1,0)</f>
        <v>#N/A</v>
      </c>
      <c r="G62" s="7" t="e">
        <f>VLOOKUP(D:D,UAT!C:C,1,0)</f>
        <v>#N/A</v>
      </c>
      <c r="H62" s="7" t="e">
        <f>VLOOKUP(C:C,UAT!D:D,1,0)</f>
        <v>#N/A</v>
      </c>
    </row>
    <row r="63" spans="1:8" x14ac:dyDescent="0.25">
      <c r="A63" s="12"/>
      <c r="B63" s="12"/>
      <c r="C63" s="12" t="s">
        <v>237</v>
      </c>
      <c r="D63" s="12">
        <v>1014392</v>
      </c>
      <c r="E63" s="7" t="e">
        <f>VLOOKUP(A:A,UAT!A:A,1,0)</f>
        <v>#N/A</v>
      </c>
      <c r="F63" s="7" t="e">
        <f>VLOOKUP(B:B,UAT!B:B,1,0)</f>
        <v>#N/A</v>
      </c>
      <c r="G63" s="7" t="e">
        <f>VLOOKUP(D:D,UAT!C:C,1,0)</f>
        <v>#N/A</v>
      </c>
      <c r="H63" s="7" t="e">
        <f>VLOOKUP(C:C,UAT!D:D,1,0)</f>
        <v>#N/A</v>
      </c>
    </row>
    <row r="64" spans="1:8" x14ac:dyDescent="0.25">
      <c r="A64" s="12"/>
      <c r="B64" s="12"/>
      <c r="C64" s="12" t="s">
        <v>238</v>
      </c>
      <c r="D64" s="12">
        <v>1014393</v>
      </c>
      <c r="E64" s="7" t="e">
        <f>VLOOKUP(A:A,UAT!A:A,1,0)</f>
        <v>#N/A</v>
      </c>
      <c r="F64" s="7" t="e">
        <f>VLOOKUP(B:B,UAT!B:B,1,0)</f>
        <v>#N/A</v>
      </c>
      <c r="G64" s="7" t="e">
        <f>VLOOKUP(D:D,UAT!C:C,1,0)</f>
        <v>#N/A</v>
      </c>
      <c r="H64" s="7" t="e">
        <f>VLOOKUP(C:C,UAT!D:D,1,0)</f>
        <v>#N/A</v>
      </c>
    </row>
    <row r="65" spans="1:8" x14ac:dyDescent="0.25">
      <c r="A65" s="12">
        <v>1014351</v>
      </c>
      <c r="B65" s="12" t="s">
        <v>177</v>
      </c>
      <c r="C65" s="12" t="s">
        <v>177</v>
      </c>
      <c r="D65" s="12">
        <v>1014353</v>
      </c>
      <c r="E65" s="7" t="e">
        <f>VLOOKUP(A:A,UAT!A:A,1,0)</f>
        <v>#N/A</v>
      </c>
      <c r="F65" s="7" t="str">
        <f>VLOOKUP(B:B,UAT!B:B,1,0)</f>
        <v>Out of Pre-Post</v>
      </c>
      <c r="G65" s="7" t="e">
        <f>VLOOKUP(D:D,UAT!C:C,1,0)</f>
        <v>#N/A</v>
      </c>
      <c r="H65" s="7" t="str">
        <f>VLOOKUP(C:C,UAT!D:D,1,0)</f>
        <v>Out of Pre-Post</v>
      </c>
    </row>
    <row r="66" spans="1:8" x14ac:dyDescent="0.25">
      <c r="A66" s="12">
        <v>1000745</v>
      </c>
      <c r="B66" s="12" t="s">
        <v>141</v>
      </c>
      <c r="C66" s="12" t="s">
        <v>141</v>
      </c>
      <c r="D66" s="12">
        <v>1011542</v>
      </c>
      <c r="E66" s="7" t="e">
        <f>VLOOKUP(A:A,UAT!A:A,1,0)</f>
        <v>#N/A</v>
      </c>
      <c r="F66" s="7" t="str">
        <f>VLOOKUP(B:B,UAT!B:B,1,0)</f>
        <v>Package Charges</v>
      </c>
      <c r="G66" s="7" t="e">
        <f>VLOOKUP(D:D,UAT!C:C,1,0)</f>
        <v>#N/A</v>
      </c>
      <c r="H66" s="7" t="str">
        <f>VLOOKUP(C:C,UAT!D:D,1,0)</f>
        <v>Package Charges</v>
      </c>
    </row>
    <row r="67" spans="1:8" x14ac:dyDescent="0.25">
      <c r="A67" s="12">
        <v>1014350</v>
      </c>
      <c r="B67" s="12" t="s">
        <v>178</v>
      </c>
      <c r="C67" s="12" t="s">
        <v>178</v>
      </c>
      <c r="D67" s="12">
        <v>1014352</v>
      </c>
      <c r="E67" s="7" t="e">
        <f>VLOOKUP(A:A,UAT!A:A,1,0)</f>
        <v>#N/A</v>
      </c>
      <c r="F67" s="7" t="str">
        <f>VLOOKUP(B:B,UAT!B:B,1,0)</f>
        <v>Pre-Post</v>
      </c>
      <c r="G67" s="7" t="e">
        <f>VLOOKUP(D:D,UAT!C:C,1,0)</f>
        <v>#N/A</v>
      </c>
      <c r="H67" s="7" t="str">
        <f>VLOOKUP(C:C,UAT!D:D,1,0)</f>
        <v>Pre-Post</v>
      </c>
    </row>
    <row r="68" spans="1:8" x14ac:dyDescent="0.25">
      <c r="A68" s="12">
        <v>500642</v>
      </c>
      <c r="B68" s="12" t="s">
        <v>239</v>
      </c>
      <c r="C68" s="12" t="s">
        <v>132</v>
      </c>
      <c r="D68" s="12">
        <v>1011547</v>
      </c>
      <c r="E68" s="7" t="e">
        <f>VLOOKUP(A:A,UAT!A:A,1,0)</f>
        <v>#N/A</v>
      </c>
      <c r="F68" s="7" t="e">
        <f>VLOOKUP(B:B,UAT!B:B,1,0)</f>
        <v>#N/A</v>
      </c>
      <c r="G68" s="7" t="e">
        <f>VLOOKUP(D:D,UAT!C:C,1,0)</f>
        <v>#N/A</v>
      </c>
      <c r="H68" s="7" t="str">
        <f>VLOOKUP(C:C,UAT!D:D,1,0)</f>
        <v>Dressing Charges</v>
      </c>
    </row>
    <row r="69" spans="1:8" x14ac:dyDescent="0.25">
      <c r="A69" s="12"/>
      <c r="B69" s="12"/>
      <c r="C69" s="12" t="s">
        <v>240</v>
      </c>
      <c r="D69" s="12">
        <v>1011086</v>
      </c>
      <c r="E69" s="7" t="e">
        <f>VLOOKUP(A:A,UAT!A:A,1,0)</f>
        <v>#N/A</v>
      </c>
      <c r="F69" s="7" t="e">
        <f>VLOOKUP(B:B,UAT!B:B,1,0)</f>
        <v>#N/A</v>
      </c>
      <c r="G69" s="7" t="e">
        <f>VLOOKUP(D:D,UAT!C:C,1,0)</f>
        <v>#N/A</v>
      </c>
      <c r="H69" s="7" t="str">
        <f>VLOOKUP(C:C,UAT!D:D,1,0)</f>
        <v>Nebulisation Charges</v>
      </c>
    </row>
    <row r="70" spans="1:8" x14ac:dyDescent="0.25">
      <c r="A70" s="12"/>
      <c r="B70" s="12"/>
      <c r="C70" s="12" t="s">
        <v>134</v>
      </c>
      <c r="D70" s="12">
        <v>1011087</v>
      </c>
      <c r="E70" s="7" t="e">
        <f>VLOOKUP(A:A,UAT!A:A,1,0)</f>
        <v>#N/A</v>
      </c>
      <c r="F70" s="7" t="e">
        <f>VLOOKUP(B:B,UAT!B:B,1,0)</f>
        <v>#N/A</v>
      </c>
      <c r="G70" s="7" t="e">
        <f>VLOOKUP(D:D,UAT!C:C,1,0)</f>
        <v>#N/A</v>
      </c>
      <c r="H70" s="7" t="str">
        <f>VLOOKUP(C:C,UAT!D:D,1,0)</f>
        <v>Phototherapy</v>
      </c>
    </row>
    <row r="71" spans="1:8" x14ac:dyDescent="0.25">
      <c r="A71" s="12"/>
      <c r="B71" s="12"/>
      <c r="C71" s="12" t="s">
        <v>135</v>
      </c>
      <c r="D71" s="12">
        <v>706059</v>
      </c>
      <c r="E71" s="7" t="e">
        <f>VLOOKUP(A:A,UAT!A:A,1,0)</f>
        <v>#N/A</v>
      </c>
      <c r="F71" s="7" t="e">
        <f>VLOOKUP(B:B,UAT!B:B,1,0)</f>
        <v>#N/A</v>
      </c>
      <c r="G71" s="7" t="e">
        <f>VLOOKUP(D:D,UAT!C:C,1,0)</f>
        <v>#N/A</v>
      </c>
      <c r="H71" s="7" t="str">
        <f>VLOOKUP(C:C,UAT!D:D,1,0)</f>
        <v>Physiotherapy</v>
      </c>
    </row>
    <row r="72" spans="1:8" x14ac:dyDescent="0.25">
      <c r="A72" s="12">
        <v>1000739</v>
      </c>
      <c r="B72" s="12" t="s">
        <v>243</v>
      </c>
      <c r="C72" s="12" t="s">
        <v>244</v>
      </c>
      <c r="D72" s="12">
        <v>1000746</v>
      </c>
      <c r="E72" s="7" t="e">
        <f>VLOOKUP(A:A,UAT!A:A,1,0)</f>
        <v>#N/A</v>
      </c>
      <c r="F72" s="7" t="e">
        <f>VLOOKUP(B:B,UAT!B:B,1,0)</f>
        <v>#N/A</v>
      </c>
      <c r="G72" s="7" t="e">
        <f>VLOOKUP(D:D,UAT!C:C,1,0)</f>
        <v>#N/A</v>
      </c>
      <c r="H72" s="7" t="e">
        <f>VLOOKUP(C:C,UAT!D:D,1,0)</f>
        <v>#N/A</v>
      </c>
    </row>
    <row r="73" spans="1:8" x14ac:dyDescent="0.25">
      <c r="A73" s="12">
        <v>1011066</v>
      </c>
      <c r="B73" s="12" t="s">
        <v>144</v>
      </c>
      <c r="C73" s="12" t="s">
        <v>146</v>
      </c>
      <c r="D73" s="12">
        <v>1011545</v>
      </c>
      <c r="E73" s="7" t="e">
        <f>VLOOKUP(A:A,UAT!A:A,1,0)</f>
        <v>#N/A</v>
      </c>
      <c r="F73" s="7" t="str">
        <f>VLOOKUP(B:B,UAT!B:B,1,0)</f>
        <v>Room Nursing Charges</v>
      </c>
      <c r="G73" s="7" t="e">
        <f>VLOOKUP(D:D,UAT!C:C,1,0)</f>
        <v>#N/A</v>
      </c>
      <c r="H73" s="7" t="str">
        <f>VLOOKUP(C:C,UAT!D:D,1,0)</f>
        <v>Hospital Nursing Charges</v>
      </c>
    </row>
    <row r="74" spans="1:8" x14ac:dyDescent="0.25">
      <c r="A74" s="12"/>
      <c r="B74" s="12"/>
      <c r="C74" s="12" t="s">
        <v>145</v>
      </c>
      <c r="D74" s="12">
        <v>1011544</v>
      </c>
      <c r="E74" s="7" t="e">
        <f>VLOOKUP(A:A,UAT!A:A,1,0)</f>
        <v>#N/A</v>
      </c>
      <c r="F74" s="7" t="e">
        <f>VLOOKUP(B:B,UAT!B:B,1,0)</f>
        <v>#N/A</v>
      </c>
      <c r="G74" s="7" t="e">
        <f>VLOOKUP(D:D,UAT!C:C,1,0)</f>
        <v>#N/A</v>
      </c>
      <c r="H74" s="7" t="str">
        <f>VLOOKUP(C:C,UAT!D:D,1,0)</f>
        <v>Nursing at Home</v>
      </c>
    </row>
    <row r="75" spans="1:8" x14ac:dyDescent="0.25">
      <c r="A75" s="12">
        <v>701971</v>
      </c>
      <c r="B75" s="12" t="s">
        <v>245</v>
      </c>
      <c r="C75" s="12" t="s">
        <v>246</v>
      </c>
      <c r="D75" s="12">
        <v>1014394</v>
      </c>
      <c r="E75" s="7" t="e">
        <f>VLOOKUP(A:A,UAT!A:A,1,0)</f>
        <v>#N/A</v>
      </c>
      <c r="F75" s="7" t="e">
        <f>VLOOKUP(B:B,UAT!B:B,1,0)</f>
        <v>#N/A</v>
      </c>
      <c r="G75" s="7" t="e">
        <f>VLOOKUP(D:D,UAT!C:C,1,0)</f>
        <v>#N/A</v>
      </c>
      <c r="H75" s="7" t="e">
        <f>VLOOKUP(C:C,UAT!D:D,1,0)</f>
        <v>#N/A</v>
      </c>
    </row>
    <row r="76" spans="1:8" x14ac:dyDescent="0.25">
      <c r="A76" s="12"/>
      <c r="B76" s="12"/>
      <c r="C76" s="12" t="s">
        <v>247</v>
      </c>
      <c r="D76" s="12">
        <v>1014395</v>
      </c>
      <c r="E76" s="7" t="e">
        <f>VLOOKUP(A:A,UAT!A:A,1,0)</f>
        <v>#N/A</v>
      </c>
      <c r="F76" s="7" t="e">
        <f>VLOOKUP(B:B,UAT!B:B,1,0)</f>
        <v>#N/A</v>
      </c>
      <c r="G76" s="7" t="e">
        <f>VLOOKUP(D:D,UAT!C:C,1,0)</f>
        <v>#N/A</v>
      </c>
      <c r="H76" s="7" t="e">
        <f>VLOOKUP(C:C,UAT!D:D,1,0)</f>
        <v>#N/A</v>
      </c>
    </row>
    <row r="77" spans="1:8" x14ac:dyDescent="0.25">
      <c r="A77" s="12"/>
      <c r="B77" s="12"/>
      <c r="C77" s="12" t="s">
        <v>248</v>
      </c>
      <c r="D77" s="12">
        <v>1014396</v>
      </c>
      <c r="E77" s="7" t="e">
        <f>VLOOKUP(A:A,UAT!A:A,1,0)</f>
        <v>#N/A</v>
      </c>
      <c r="F77" s="7" t="e">
        <f>VLOOKUP(B:B,UAT!B:B,1,0)</f>
        <v>#N/A</v>
      </c>
      <c r="G77" s="7" t="e">
        <f>VLOOKUP(D:D,UAT!C:C,1,0)</f>
        <v>#N/A</v>
      </c>
      <c r="H77" s="7" t="e">
        <f>VLOOKUP(C:C,UAT!D:D,1,0)</f>
        <v>#N/A</v>
      </c>
    </row>
    <row r="78" spans="1:8" x14ac:dyDescent="0.25">
      <c r="A78" s="12">
        <v>500530</v>
      </c>
      <c r="B78" s="13" t="s">
        <v>128</v>
      </c>
      <c r="C78" s="12" t="s">
        <v>128</v>
      </c>
      <c r="D78" s="12">
        <v>1011088</v>
      </c>
      <c r="E78" s="7" t="e">
        <f>VLOOKUP(A:A,UAT!A:A,1,0)</f>
        <v>#N/A</v>
      </c>
      <c r="F78" s="7" t="e">
        <f>VLOOKUP(B:B,UAT!B:B,1,0)</f>
        <v>#N/A</v>
      </c>
      <c r="G78" s="7" t="e">
        <f>VLOOKUP(D:D,UAT!C:C,1,0)</f>
        <v>#N/A</v>
      </c>
      <c r="H78" s="7" t="str">
        <f>VLOOKUP(C:C,UAT!D:D,1,0)</f>
        <v>Surgeon Charges</v>
      </c>
    </row>
    <row r="79" spans="1:8" x14ac:dyDescent="0.25">
      <c r="A79" s="12"/>
      <c r="B79" s="13"/>
      <c r="C79" s="14" t="s">
        <v>241</v>
      </c>
      <c r="D79" s="14">
        <v>706041</v>
      </c>
      <c r="E79" s="7" t="e">
        <f>VLOOKUP(A:A,UAT!A:A,1,0)</f>
        <v>#N/A</v>
      </c>
      <c r="F79" s="7" t="e">
        <f>VLOOKUP(B:B,UAT!B:B,1,0)</f>
        <v>#N/A</v>
      </c>
      <c r="G79" s="7" t="e">
        <f>VLOOKUP(D:D,UAT!C:C,1,0)</f>
        <v>#N/A</v>
      </c>
      <c r="H79" s="7" t="str">
        <f>VLOOKUP(C:C,UAT!D:D,1,0)</f>
        <v>Delivery charges</v>
      </c>
    </row>
    <row r="80" spans="1:8" x14ac:dyDescent="0.25">
      <c r="A80" s="12"/>
      <c r="B80" s="13"/>
      <c r="C80" s="14" t="s">
        <v>242</v>
      </c>
      <c r="D80" s="14">
        <v>1011539</v>
      </c>
      <c r="E80" s="7" t="e">
        <f>VLOOKUP(A:A,UAT!A:A,1,0)</f>
        <v>#N/A</v>
      </c>
      <c r="F80" s="7" t="e">
        <f>VLOOKUP(B:B,UAT!B:B,1,0)</f>
        <v>#N/A</v>
      </c>
      <c r="G80" s="7" t="e">
        <f>VLOOKUP(D:D,UAT!C:C,1,0)</f>
        <v>#N/A</v>
      </c>
      <c r="H80" s="7" t="e">
        <f>VLOOKUP(C:C,UAT!D:D,1,0)</f>
        <v>#N/A</v>
      </c>
    </row>
    <row r="81" spans="1:8" x14ac:dyDescent="0.25">
      <c r="A81" s="12">
        <v>500537</v>
      </c>
      <c r="B81" s="12" t="s">
        <v>179</v>
      </c>
      <c r="C81" s="12" t="s">
        <v>179</v>
      </c>
      <c r="D81" s="12">
        <v>1000794</v>
      </c>
      <c r="E81" s="7">
        <f>VLOOKUP(A:A,UAT!A:A,1,0)</f>
        <v>500537</v>
      </c>
      <c r="F81" s="7" t="str">
        <f>VLOOKUP(B:B,UAT!B:B,1,0)</f>
        <v>Taxes</v>
      </c>
      <c r="G81" s="7" t="e">
        <f>VLOOKUP(D:D,UAT!C:C,1,0)</f>
        <v>#N/A</v>
      </c>
      <c r="H81" s="7" t="str">
        <f>VLOOKUP(C:C,UAT!D:D,1,0)</f>
        <v>Taxes</v>
      </c>
    </row>
    <row r="82" spans="1:8" x14ac:dyDescent="0.25">
      <c r="A82" s="12">
        <v>1008847</v>
      </c>
      <c r="B82" s="12" t="s">
        <v>149</v>
      </c>
      <c r="C82" s="12" t="s">
        <v>149</v>
      </c>
      <c r="D82" s="12">
        <v>1011549</v>
      </c>
      <c r="E82" s="7" t="e">
        <f>VLOOKUP(A:A,UAT!A:A,1,0)</f>
        <v>#N/A</v>
      </c>
      <c r="F82" s="7" t="str">
        <f>VLOOKUP(B:B,UAT!B:B,1,0)</f>
        <v>Wellness OPD</v>
      </c>
      <c r="G82" s="7" t="e">
        <f>VLOOKUP(D:D,UAT!C:C,1,0)</f>
        <v>#N/A</v>
      </c>
      <c r="H82" s="7" t="str">
        <f>VLOOKUP(C:C,UAT!D:D,1,0)</f>
        <v>Wellness OPD</v>
      </c>
    </row>
    <row r="83" spans="1:8" x14ac:dyDescent="0.25">
      <c r="A83" s="12">
        <v>1006255</v>
      </c>
      <c r="B83" s="12" t="s">
        <v>249</v>
      </c>
      <c r="C83" s="12" t="s">
        <v>249</v>
      </c>
      <c r="D83" s="12">
        <v>1014397</v>
      </c>
      <c r="E83" s="7" t="e">
        <f>VLOOKUP(A:A,UAT!A:A,1,0)</f>
        <v>#N/A</v>
      </c>
      <c r="F83" s="7" t="e">
        <f>VLOOKUP(B:B,UAT!B:B,1,0)</f>
        <v>#N/A</v>
      </c>
      <c r="G83" s="7" t="e">
        <f>VLOOKUP(D:D,UAT!C:C,1,0)</f>
        <v>#N/A</v>
      </c>
      <c r="H83" s="7" t="e">
        <f>VLOOKUP(C:C,UAT!D:D,1,0)</f>
        <v>#N/A</v>
      </c>
    </row>
    <row r="84" spans="1:8" x14ac:dyDescent="0.25">
      <c r="A84" s="12">
        <v>500538</v>
      </c>
      <c r="B84" s="12" t="s">
        <v>158</v>
      </c>
      <c r="C84" s="12" t="s">
        <v>158</v>
      </c>
      <c r="D84" s="12">
        <v>706042</v>
      </c>
      <c r="E84" s="7">
        <f>VLOOKUP(A:A,UAT!A:A,1,0)</f>
        <v>500538</v>
      </c>
      <c r="F84" s="7" t="str">
        <f>VLOOKUP(B:B,UAT!B:B,1,0)</f>
        <v>Discounts if any</v>
      </c>
      <c r="G84" s="7" t="e">
        <f>VLOOKUP(D:D,UAT!C:C,1,0)</f>
        <v>#N/A</v>
      </c>
      <c r="H84" s="7" t="str">
        <f>VLOOKUP(C:C,UAT!D:D,1,0)</f>
        <v>Discounts if any</v>
      </c>
    </row>
    <row r="85" spans="1:8" x14ac:dyDescent="0.25">
      <c r="A85" s="12">
        <v>1014399</v>
      </c>
      <c r="B85" s="12" t="s">
        <v>250</v>
      </c>
      <c r="C85" s="12" t="s">
        <v>250</v>
      </c>
      <c r="D85" s="12">
        <v>1014404</v>
      </c>
      <c r="E85" s="7" t="e">
        <f>VLOOKUP(A:A,UAT!A:A,1,0)</f>
        <v>#N/A</v>
      </c>
      <c r="F85" s="7" t="e">
        <f>VLOOKUP(B:B,UAT!B:B,1,0)</f>
        <v>#N/A</v>
      </c>
      <c r="G85" s="7" t="e">
        <f>VLOOKUP(D:D,UAT!C:C,1,0)</f>
        <v>#N/A</v>
      </c>
      <c r="H85" s="7" t="e">
        <f>VLOOKUP(C:C,UAT!D:D,1,0)</f>
        <v>#N/A</v>
      </c>
    </row>
    <row r="86" spans="1:8" x14ac:dyDescent="0.25">
      <c r="A86" s="12">
        <v>1014400</v>
      </c>
      <c r="B86" s="12" t="s">
        <v>251</v>
      </c>
      <c r="C86" s="12" t="s">
        <v>251</v>
      </c>
      <c r="D86" s="12">
        <v>1014405</v>
      </c>
      <c r="E86" s="7" t="e">
        <f>VLOOKUP(A:A,UAT!A:A,1,0)</f>
        <v>#N/A</v>
      </c>
      <c r="F86" s="7" t="e">
        <f>VLOOKUP(B:B,UAT!B:B,1,0)</f>
        <v>#N/A</v>
      </c>
      <c r="G86" s="7" t="e">
        <f>VLOOKUP(D:D,UAT!C:C,1,0)</f>
        <v>#N/A</v>
      </c>
      <c r="H86" s="7" t="e">
        <f>VLOOKUP(C:C,UAT!D:D,1,0)</f>
        <v>#N/A</v>
      </c>
    </row>
    <row r="87" spans="1:8" x14ac:dyDescent="0.25">
      <c r="A87" s="16" t="s">
        <v>253</v>
      </c>
      <c r="B87" s="12" t="s">
        <v>203</v>
      </c>
      <c r="C87" s="12" t="s">
        <v>203</v>
      </c>
      <c r="D87" s="12">
        <v>1011075</v>
      </c>
      <c r="E87" s="7" t="e">
        <f>VLOOKUP(A:A,UAT!A:A,1,0)</f>
        <v>#N/A</v>
      </c>
      <c r="F87" s="7" t="e">
        <f>VLOOKUP(B:B,UAT!B:B,1,0)</f>
        <v>#N/A</v>
      </c>
      <c r="G87" s="7" t="e">
        <f>VLOOKUP(D:D,UAT!C:C,1,0)</f>
        <v>#N/A</v>
      </c>
      <c r="H87" s="7" t="str">
        <f>VLOOKUP(C:C,UAT!D:D,1,0)</f>
        <v>Oxygen Charges</v>
      </c>
    </row>
    <row r="88" spans="1:8" x14ac:dyDescent="0.25">
      <c r="A88" s="16" t="s">
        <v>254</v>
      </c>
      <c r="B88" s="12" t="s">
        <v>205</v>
      </c>
      <c r="C88" s="12" t="s">
        <v>205</v>
      </c>
      <c r="D88" s="12">
        <v>1014377</v>
      </c>
      <c r="E88" s="7" t="e">
        <f>VLOOKUP(A:A,UAT!A:A,1,0)</f>
        <v>#N/A</v>
      </c>
      <c r="F88" s="7" t="e">
        <f>VLOOKUP(B:B,UAT!B:B,1,0)</f>
        <v>#N/A</v>
      </c>
      <c r="G88" s="7" t="e">
        <f>VLOOKUP(D:D,UAT!C:C,1,0)</f>
        <v>#N/A</v>
      </c>
      <c r="H88" s="7" t="e">
        <f>VLOOKUP(C:C,UAT!D:D,1,0)</f>
        <v>#N/A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J7"/>
  <sheetViews>
    <sheetView workbookViewId="0">
      <selection activeCell="G3" sqref="G3:J6"/>
    </sheetView>
  </sheetViews>
  <sheetFormatPr defaultRowHeight="15" x14ac:dyDescent="0.25"/>
  <cols>
    <col min="5" max="5" width="12.28515625" bestFit="1" customWidth="1"/>
    <col min="7" max="7" width="16.42578125" customWidth="1"/>
    <col min="8" max="8" width="13.5703125" bestFit="1" customWidth="1"/>
    <col min="9" max="9" width="12.28515625" bestFit="1" customWidth="1"/>
    <col min="10" max="10" width="44.5703125" bestFit="1" customWidth="1"/>
  </cols>
  <sheetData>
    <row r="3" spans="7:10" x14ac:dyDescent="0.25">
      <c r="G3" s="2"/>
      <c r="H3" s="11" t="s">
        <v>264</v>
      </c>
      <c r="I3" s="11"/>
      <c r="J3" s="2"/>
    </row>
    <row r="4" spans="7:10" s="8" customFormat="1" x14ac:dyDescent="0.25">
      <c r="G4" s="9" t="s">
        <v>266</v>
      </c>
      <c r="H4" s="10" t="s">
        <v>262</v>
      </c>
      <c r="I4" s="10" t="s">
        <v>261</v>
      </c>
      <c r="J4" s="10" t="s">
        <v>263</v>
      </c>
    </row>
    <row r="5" spans="7:10" x14ac:dyDescent="0.25">
      <c r="G5" s="3" t="s">
        <v>267</v>
      </c>
      <c r="H5" s="3">
        <v>32</v>
      </c>
      <c r="I5" s="3">
        <v>88</v>
      </c>
      <c r="J5" s="2" t="s">
        <v>265</v>
      </c>
    </row>
    <row r="6" spans="7:10" x14ac:dyDescent="0.25">
      <c r="G6" s="3">
        <v>2</v>
      </c>
      <c r="H6" s="3">
        <v>20</v>
      </c>
      <c r="I6" s="3">
        <v>53</v>
      </c>
      <c r="J6" s="2" t="s">
        <v>268</v>
      </c>
    </row>
    <row r="7" spans="7:10" x14ac:dyDescent="0.25">
      <c r="G7" s="4"/>
    </row>
  </sheetData>
  <mergeCells count="1"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</vt:lpstr>
      <vt:lpstr>Live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2021-08-27T09:14:08Z</dcterms:modified>
</cp:coreProperties>
</file>